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smaa\OneDrive\Escritorio\"/>
    </mc:Choice>
  </mc:AlternateContent>
  <xr:revisionPtr revIDLastSave="0" documentId="8_{67B9BCE3-4E31-4F91-BEED-62D99AA13888}" xr6:coauthVersionLast="47" xr6:coauthVersionMax="47" xr10:uidLastSave="{00000000-0000-0000-0000-000000000000}"/>
  <bookViews>
    <workbookView xWindow="-120" yWindow="-120" windowWidth="29040" windowHeight="15720" tabRatio="500" activeTab="3" xr2:uid="{00000000-000D-0000-FFFF-FFFF00000000}"/>
  </bookViews>
  <sheets>
    <sheet name="Panel" sheetId="1" r:id="rId1"/>
    <sheet name="Config" sheetId="2" r:id="rId2"/>
    <sheet name="Quincenas" sheetId="3" r:id="rId3"/>
    <sheet name="Fijos" sheetId="4" r:id="rId4"/>
    <sheet name="Registro" sheetId="5" r:id="rId5"/>
    <sheet name="Control" sheetId="6" r:id="rId6"/>
    <sheet name="Historial" sheetId="7" r:id="rId7"/>
    <sheet name="Reporte" sheetId="8" r:id="rId8"/>
    <sheet name="Listas" sheetId="9" r:id="rId9"/>
  </sheets>
  <definedNames>
    <definedName name="_xlnm._FilterDatabase" localSheetId="3" hidden="1">Fijos!$A$6:$L$28</definedName>
    <definedName name="_xlnm._FilterDatabase" localSheetId="2" hidden="1">Quincenas!$A$6:$T$30</definedName>
    <definedName name="_xlnm._FilterDatabase" localSheetId="4" hidden="1">Registro!$A$6:$L$402</definedName>
    <definedName name="Anio">Config!$C$6</definedName>
    <definedName name="Dias_Aviso">Config!$C$15</definedName>
    <definedName name="Dias_Sin_Registro">Config!$C$16</definedName>
    <definedName name="Fecha_Inicio">Config!$C$12</definedName>
    <definedName name="Fijos_Activo">Fijos!$I$7:$I$28</definedName>
    <definedName name="Fijos_Aplica">Fijos!$G$7:$G$28</definedName>
    <definedName name="Fijos_Cat">Fijos!$B$7:$B$28</definedName>
    <definedName name="Fijos_Concepto">Fijos!$C$7:$C$28</definedName>
    <definedName name="Fijos_Monto">Fijos!$D$7:$D$28</definedName>
    <definedName name="Lista_Categorias">Listas!$A$4:$A$27</definedName>
    <definedName name="Lista_Estados">Listas!$H$4:$H$6</definedName>
    <definedName name="Lista_Fijos">Fijos!$C$7:$C$28</definedName>
    <definedName name="Lista_Frecuencias">Listas!$J$4:$J$5</definedName>
    <definedName name="Lista_Metodos">Listas!$F$4:$F$10</definedName>
    <definedName name="Lista_SiNo">Listas!$J$7:$J$8</definedName>
    <definedName name="Lista_Tipos">Listas!$D$4:$D$7</definedName>
    <definedName name="Meta_Ahorro">Config!$C$17</definedName>
    <definedName name="Q_Activa">Config!$C$10</definedName>
    <definedName name="Reg_Cat">Registro!$F$7:$F$402</definedName>
    <definedName name="Reg_Concepto">Registro!$G$7:$G$402</definedName>
    <definedName name="Reg_Estado">Registro!$J$7:$J$402</definedName>
    <definedName name="Reg_Fecha">Registro!$B$7:$B$402</definedName>
    <definedName name="Reg_Mes">Registro!$D$7:$D$402</definedName>
    <definedName name="Reg_Monto">Registro!$H$7:$H$402</definedName>
    <definedName name="Reg_Quincena">Registro!$C$7:$C$402</definedName>
    <definedName name="Reg_Tipo">Registro!$E$7:$E$402</definedName>
    <definedName name="_xlnm.Print_Titles" localSheetId="5">Control!$7:$7</definedName>
    <definedName name="_xlnm.Print_Titles" localSheetId="3">Fijos!$6:$6</definedName>
    <definedName name="_xlnm.Print_Titles" localSheetId="6">Historial!$6:$6</definedName>
    <definedName name="_xlnm.Print_Titles" localSheetId="8">Listas!$3:$3</definedName>
    <definedName name="_xlnm.Print_Titles" localSheetId="2">Quincenas!$6:$6</definedName>
    <definedName name="_xlnm.Print_Titles" localSheetId="4">Registro!$6:$6</definedName>
    <definedName name="_xlnm.Print_Titles" localSheetId="7">Reporte!$4:$4</definedName>
    <definedName name="Umbral_Gasto">Config!$C$14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11" i="4" l="1"/>
  <c r="D13" i="7" s="1"/>
  <c r="A9" i="6"/>
  <c r="B9" i="6"/>
  <c r="C9" i="6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E30" i="7"/>
  <c r="D30" i="7"/>
  <c r="C30" i="7"/>
  <c r="B30" i="7"/>
  <c r="A30" i="7"/>
  <c r="E29" i="7"/>
  <c r="D29" i="7"/>
  <c r="C29" i="7"/>
  <c r="B29" i="7"/>
  <c r="A29" i="7"/>
  <c r="E28" i="7"/>
  <c r="D28" i="7"/>
  <c r="C28" i="7"/>
  <c r="B28" i="7"/>
  <c r="A28" i="7"/>
  <c r="E27" i="7"/>
  <c r="D27" i="7"/>
  <c r="C27" i="7"/>
  <c r="B27" i="7"/>
  <c r="A27" i="7"/>
  <c r="E26" i="7"/>
  <c r="D26" i="7"/>
  <c r="C26" i="7"/>
  <c r="B26" i="7"/>
  <c r="A26" i="7"/>
  <c r="E25" i="7"/>
  <c r="D25" i="7"/>
  <c r="C25" i="7"/>
  <c r="B25" i="7"/>
  <c r="A25" i="7"/>
  <c r="E24" i="7"/>
  <c r="D24" i="7"/>
  <c r="C24" i="7"/>
  <c r="B24" i="7"/>
  <c r="A24" i="7"/>
  <c r="E23" i="7"/>
  <c r="D23" i="7"/>
  <c r="C23" i="7"/>
  <c r="B23" i="7"/>
  <c r="A23" i="7"/>
  <c r="E22" i="7"/>
  <c r="D22" i="7"/>
  <c r="C22" i="7"/>
  <c r="B22" i="7"/>
  <c r="A22" i="7"/>
  <c r="E21" i="7"/>
  <c r="D21" i="7"/>
  <c r="C21" i="7"/>
  <c r="B21" i="7"/>
  <c r="A21" i="7"/>
  <c r="E20" i="7"/>
  <c r="D20" i="7"/>
  <c r="C20" i="7"/>
  <c r="B20" i="7"/>
  <c r="A20" i="7"/>
  <c r="E19" i="7"/>
  <c r="D19" i="7"/>
  <c r="C19" i="7"/>
  <c r="B19" i="7"/>
  <c r="A19" i="7"/>
  <c r="E18" i="7"/>
  <c r="D18" i="7"/>
  <c r="C18" i="7"/>
  <c r="B18" i="7"/>
  <c r="A18" i="7"/>
  <c r="E17" i="7"/>
  <c r="D17" i="7"/>
  <c r="C17" i="7"/>
  <c r="B17" i="7"/>
  <c r="A17" i="7"/>
  <c r="E16" i="7"/>
  <c r="D16" i="7"/>
  <c r="C16" i="7"/>
  <c r="B16" i="7"/>
  <c r="A16" i="7"/>
  <c r="E15" i="7"/>
  <c r="D15" i="7"/>
  <c r="C15" i="7"/>
  <c r="B15" i="7"/>
  <c r="A15" i="7"/>
  <c r="E14" i="7"/>
  <c r="D14" i="7"/>
  <c r="C14" i="7"/>
  <c r="B14" i="7"/>
  <c r="A14" i="7"/>
  <c r="E13" i="7"/>
  <c r="C13" i="7"/>
  <c r="B13" i="7"/>
  <c r="E12" i="7"/>
  <c r="C12" i="7"/>
  <c r="B12" i="7"/>
  <c r="E11" i="7"/>
  <c r="C11" i="7"/>
  <c r="B11" i="7"/>
  <c r="E10" i="7"/>
  <c r="C10" i="7"/>
  <c r="B10" i="7"/>
  <c r="E9" i="7"/>
  <c r="C9" i="7"/>
  <c r="B9" i="7"/>
  <c r="AC7" i="7"/>
  <c r="AB7" i="7"/>
  <c r="AA7" i="7"/>
  <c r="Z7" i="7"/>
  <c r="Y7" i="7"/>
  <c r="X7" i="7"/>
  <c r="W7" i="7"/>
  <c r="V7" i="7"/>
  <c r="U7" i="7"/>
  <c r="T7" i="7"/>
  <c r="S7" i="7"/>
  <c r="R7" i="7"/>
  <c r="Q7" i="7"/>
  <c r="P7" i="7"/>
  <c r="O7" i="7"/>
  <c r="N7" i="7"/>
  <c r="M7" i="7"/>
  <c r="L7" i="7"/>
  <c r="K7" i="7"/>
  <c r="J7" i="7"/>
  <c r="I7" i="7"/>
  <c r="H7" i="7"/>
  <c r="G7" i="7"/>
  <c r="F7" i="7"/>
  <c r="C29" i="6"/>
  <c r="B29" i="6"/>
  <c r="A29" i="6"/>
  <c r="C28" i="6"/>
  <c r="B28" i="6"/>
  <c r="A28" i="6"/>
  <c r="C27" i="6"/>
  <c r="B27" i="6"/>
  <c r="A27" i="6"/>
  <c r="C26" i="6"/>
  <c r="B26" i="6"/>
  <c r="A26" i="6"/>
  <c r="C25" i="6"/>
  <c r="B25" i="6"/>
  <c r="A25" i="6"/>
  <c r="C24" i="6"/>
  <c r="B24" i="6"/>
  <c r="A24" i="6"/>
  <c r="C23" i="6"/>
  <c r="B23" i="6"/>
  <c r="A23" i="6"/>
  <c r="C22" i="6"/>
  <c r="B22" i="6"/>
  <c r="A22" i="6"/>
  <c r="C21" i="6"/>
  <c r="B21" i="6"/>
  <c r="A21" i="6"/>
  <c r="C20" i="6"/>
  <c r="B20" i="6"/>
  <c r="A20" i="6"/>
  <c r="C19" i="6"/>
  <c r="B19" i="6"/>
  <c r="A19" i="6"/>
  <c r="C18" i="6"/>
  <c r="B18" i="6"/>
  <c r="A18" i="6"/>
  <c r="C17" i="6"/>
  <c r="B17" i="6"/>
  <c r="A17" i="6"/>
  <c r="C16" i="6"/>
  <c r="B16" i="6"/>
  <c r="A16" i="6"/>
  <c r="C15" i="6"/>
  <c r="B15" i="6"/>
  <c r="A15" i="6"/>
  <c r="C14" i="6"/>
  <c r="B14" i="6"/>
  <c r="A14" i="6"/>
  <c r="C13" i="6"/>
  <c r="B13" i="6"/>
  <c r="A13" i="6"/>
  <c r="C12" i="6"/>
  <c r="B12" i="6"/>
  <c r="C11" i="6"/>
  <c r="B11" i="6"/>
  <c r="C10" i="6"/>
  <c r="B10" i="6"/>
  <c r="C8" i="6"/>
  <c r="B8" i="6"/>
  <c r="L402" i="5"/>
  <c r="D402" i="5"/>
  <c r="C402" i="5"/>
  <c r="A402" i="5"/>
  <c r="L401" i="5"/>
  <c r="D401" i="5"/>
  <c r="C401" i="5"/>
  <c r="A401" i="5"/>
  <c r="L400" i="5"/>
  <c r="D400" i="5"/>
  <c r="C400" i="5"/>
  <c r="A400" i="5"/>
  <c r="L399" i="5"/>
  <c r="D399" i="5"/>
  <c r="C399" i="5"/>
  <c r="A399" i="5"/>
  <c r="L398" i="5"/>
  <c r="D398" i="5"/>
  <c r="C398" i="5"/>
  <c r="A398" i="5"/>
  <c r="L397" i="5"/>
  <c r="D397" i="5"/>
  <c r="C397" i="5"/>
  <c r="A397" i="5"/>
  <c r="L396" i="5"/>
  <c r="D396" i="5"/>
  <c r="C396" i="5"/>
  <c r="A396" i="5"/>
  <c r="L395" i="5"/>
  <c r="D395" i="5"/>
  <c r="C395" i="5"/>
  <c r="A395" i="5"/>
  <c r="L394" i="5"/>
  <c r="D394" i="5"/>
  <c r="C394" i="5"/>
  <c r="A394" i="5"/>
  <c r="L393" i="5"/>
  <c r="D393" i="5"/>
  <c r="C393" i="5"/>
  <c r="A393" i="5"/>
  <c r="L392" i="5"/>
  <c r="D392" i="5"/>
  <c r="C392" i="5"/>
  <c r="A392" i="5"/>
  <c r="L391" i="5"/>
  <c r="D391" i="5"/>
  <c r="C391" i="5"/>
  <c r="A391" i="5"/>
  <c r="L390" i="5"/>
  <c r="D390" i="5"/>
  <c r="C390" i="5"/>
  <c r="A390" i="5"/>
  <c r="L389" i="5"/>
  <c r="D389" i="5"/>
  <c r="C389" i="5"/>
  <c r="A389" i="5"/>
  <c r="L388" i="5"/>
  <c r="D388" i="5"/>
  <c r="C388" i="5"/>
  <c r="A388" i="5"/>
  <c r="L387" i="5"/>
  <c r="D387" i="5"/>
  <c r="C387" i="5"/>
  <c r="A387" i="5"/>
  <c r="L386" i="5"/>
  <c r="D386" i="5"/>
  <c r="C386" i="5"/>
  <c r="A386" i="5"/>
  <c r="L385" i="5"/>
  <c r="D385" i="5"/>
  <c r="C385" i="5"/>
  <c r="A385" i="5"/>
  <c r="L384" i="5"/>
  <c r="D384" i="5"/>
  <c r="C384" i="5"/>
  <c r="A384" i="5"/>
  <c r="L383" i="5"/>
  <c r="D383" i="5"/>
  <c r="C383" i="5"/>
  <c r="A383" i="5"/>
  <c r="L382" i="5"/>
  <c r="D382" i="5"/>
  <c r="C382" i="5"/>
  <c r="A382" i="5"/>
  <c r="L381" i="5"/>
  <c r="D381" i="5"/>
  <c r="C381" i="5"/>
  <c r="A381" i="5"/>
  <c r="L380" i="5"/>
  <c r="D380" i="5"/>
  <c r="C380" i="5"/>
  <c r="A380" i="5"/>
  <c r="L379" i="5"/>
  <c r="D379" i="5"/>
  <c r="C379" i="5"/>
  <c r="A379" i="5"/>
  <c r="L378" i="5"/>
  <c r="D378" i="5"/>
  <c r="C378" i="5"/>
  <c r="A378" i="5"/>
  <c r="L377" i="5"/>
  <c r="D377" i="5"/>
  <c r="C377" i="5"/>
  <c r="A377" i="5"/>
  <c r="L376" i="5"/>
  <c r="D376" i="5"/>
  <c r="C376" i="5"/>
  <c r="A376" i="5"/>
  <c r="L375" i="5"/>
  <c r="D375" i="5"/>
  <c r="C375" i="5"/>
  <c r="A375" i="5"/>
  <c r="L374" i="5"/>
  <c r="D374" i="5"/>
  <c r="C374" i="5"/>
  <c r="A374" i="5"/>
  <c r="L373" i="5"/>
  <c r="D373" i="5"/>
  <c r="C373" i="5"/>
  <c r="A373" i="5"/>
  <c r="L372" i="5"/>
  <c r="D372" i="5"/>
  <c r="C372" i="5"/>
  <c r="A372" i="5"/>
  <c r="L371" i="5"/>
  <c r="D371" i="5"/>
  <c r="C371" i="5"/>
  <c r="A371" i="5"/>
  <c r="L370" i="5"/>
  <c r="D370" i="5"/>
  <c r="C370" i="5"/>
  <c r="A370" i="5"/>
  <c r="L369" i="5"/>
  <c r="D369" i="5"/>
  <c r="C369" i="5"/>
  <c r="A369" i="5"/>
  <c r="L368" i="5"/>
  <c r="D368" i="5"/>
  <c r="C368" i="5"/>
  <c r="A368" i="5"/>
  <c r="L367" i="5"/>
  <c r="D367" i="5"/>
  <c r="C367" i="5"/>
  <c r="A367" i="5"/>
  <c r="L366" i="5"/>
  <c r="D366" i="5"/>
  <c r="C366" i="5"/>
  <c r="A366" i="5"/>
  <c r="L365" i="5"/>
  <c r="D365" i="5"/>
  <c r="C365" i="5"/>
  <c r="A365" i="5"/>
  <c r="L364" i="5"/>
  <c r="D364" i="5"/>
  <c r="C364" i="5"/>
  <c r="A364" i="5"/>
  <c r="L363" i="5"/>
  <c r="D363" i="5"/>
  <c r="C363" i="5"/>
  <c r="A363" i="5"/>
  <c r="L362" i="5"/>
  <c r="D362" i="5"/>
  <c r="C362" i="5"/>
  <c r="A362" i="5"/>
  <c r="L361" i="5"/>
  <c r="D361" i="5"/>
  <c r="C361" i="5"/>
  <c r="A361" i="5"/>
  <c r="L360" i="5"/>
  <c r="D360" i="5"/>
  <c r="C360" i="5"/>
  <c r="A360" i="5"/>
  <c r="L359" i="5"/>
  <c r="D359" i="5"/>
  <c r="C359" i="5"/>
  <c r="A359" i="5"/>
  <c r="L358" i="5"/>
  <c r="D358" i="5"/>
  <c r="C358" i="5"/>
  <c r="A358" i="5"/>
  <c r="L357" i="5"/>
  <c r="D357" i="5"/>
  <c r="C357" i="5"/>
  <c r="A357" i="5"/>
  <c r="L356" i="5"/>
  <c r="D356" i="5"/>
  <c r="C356" i="5"/>
  <c r="A356" i="5"/>
  <c r="L355" i="5"/>
  <c r="D355" i="5"/>
  <c r="C355" i="5"/>
  <c r="A355" i="5"/>
  <c r="L354" i="5"/>
  <c r="D354" i="5"/>
  <c r="C354" i="5"/>
  <c r="A354" i="5"/>
  <c r="L353" i="5"/>
  <c r="D353" i="5"/>
  <c r="C353" i="5"/>
  <c r="A353" i="5"/>
  <c r="L352" i="5"/>
  <c r="D352" i="5"/>
  <c r="C352" i="5"/>
  <c r="A352" i="5"/>
  <c r="L351" i="5"/>
  <c r="D351" i="5"/>
  <c r="C351" i="5"/>
  <c r="A351" i="5"/>
  <c r="L350" i="5"/>
  <c r="D350" i="5"/>
  <c r="C350" i="5"/>
  <c r="A350" i="5"/>
  <c r="L349" i="5"/>
  <c r="D349" i="5"/>
  <c r="C349" i="5"/>
  <c r="A349" i="5"/>
  <c r="L348" i="5"/>
  <c r="D348" i="5"/>
  <c r="C348" i="5"/>
  <c r="A348" i="5"/>
  <c r="L347" i="5"/>
  <c r="D347" i="5"/>
  <c r="C347" i="5"/>
  <c r="A347" i="5"/>
  <c r="L346" i="5"/>
  <c r="D346" i="5"/>
  <c r="C346" i="5"/>
  <c r="A346" i="5"/>
  <c r="L345" i="5"/>
  <c r="D345" i="5"/>
  <c r="C345" i="5"/>
  <c r="A345" i="5"/>
  <c r="L344" i="5"/>
  <c r="D344" i="5"/>
  <c r="C344" i="5"/>
  <c r="A344" i="5"/>
  <c r="L343" i="5"/>
  <c r="D343" i="5"/>
  <c r="C343" i="5"/>
  <c r="A343" i="5"/>
  <c r="L342" i="5"/>
  <c r="D342" i="5"/>
  <c r="C342" i="5"/>
  <c r="A342" i="5"/>
  <c r="L341" i="5"/>
  <c r="D341" i="5"/>
  <c r="C341" i="5"/>
  <c r="A341" i="5"/>
  <c r="L340" i="5"/>
  <c r="D340" i="5"/>
  <c r="C340" i="5"/>
  <c r="A340" i="5"/>
  <c r="L339" i="5"/>
  <c r="D339" i="5"/>
  <c r="C339" i="5"/>
  <c r="A339" i="5"/>
  <c r="L338" i="5"/>
  <c r="D338" i="5"/>
  <c r="C338" i="5"/>
  <c r="A338" i="5"/>
  <c r="L337" i="5"/>
  <c r="D337" i="5"/>
  <c r="C337" i="5"/>
  <c r="A337" i="5"/>
  <c r="L336" i="5"/>
  <c r="D336" i="5"/>
  <c r="C336" i="5"/>
  <c r="A336" i="5"/>
  <c r="L335" i="5"/>
  <c r="D335" i="5"/>
  <c r="C335" i="5"/>
  <c r="A335" i="5"/>
  <c r="L334" i="5"/>
  <c r="D334" i="5"/>
  <c r="C334" i="5"/>
  <c r="A334" i="5"/>
  <c r="L333" i="5"/>
  <c r="D333" i="5"/>
  <c r="C333" i="5"/>
  <c r="A333" i="5"/>
  <c r="L332" i="5"/>
  <c r="D332" i="5"/>
  <c r="C332" i="5"/>
  <c r="A332" i="5"/>
  <c r="L331" i="5"/>
  <c r="D331" i="5"/>
  <c r="C331" i="5"/>
  <c r="A331" i="5"/>
  <c r="L330" i="5"/>
  <c r="D330" i="5"/>
  <c r="C330" i="5"/>
  <c r="A330" i="5"/>
  <c r="L329" i="5"/>
  <c r="D329" i="5"/>
  <c r="C329" i="5"/>
  <c r="A329" i="5"/>
  <c r="L328" i="5"/>
  <c r="D328" i="5"/>
  <c r="C328" i="5"/>
  <c r="A328" i="5"/>
  <c r="L327" i="5"/>
  <c r="D327" i="5"/>
  <c r="C327" i="5"/>
  <c r="A327" i="5"/>
  <c r="L326" i="5"/>
  <c r="D326" i="5"/>
  <c r="C326" i="5"/>
  <c r="A326" i="5"/>
  <c r="L325" i="5"/>
  <c r="D325" i="5"/>
  <c r="C325" i="5"/>
  <c r="A325" i="5"/>
  <c r="L324" i="5"/>
  <c r="D324" i="5"/>
  <c r="C324" i="5"/>
  <c r="A324" i="5"/>
  <c r="L323" i="5"/>
  <c r="D323" i="5"/>
  <c r="C323" i="5"/>
  <c r="A323" i="5"/>
  <c r="L322" i="5"/>
  <c r="D322" i="5"/>
  <c r="C322" i="5"/>
  <c r="A322" i="5"/>
  <c r="L321" i="5"/>
  <c r="D321" i="5"/>
  <c r="C321" i="5"/>
  <c r="A321" i="5"/>
  <c r="L320" i="5"/>
  <c r="D320" i="5"/>
  <c r="C320" i="5"/>
  <c r="A320" i="5"/>
  <c r="L319" i="5"/>
  <c r="D319" i="5"/>
  <c r="C319" i="5"/>
  <c r="A319" i="5"/>
  <c r="L318" i="5"/>
  <c r="D318" i="5"/>
  <c r="C318" i="5"/>
  <c r="A318" i="5"/>
  <c r="L317" i="5"/>
  <c r="D317" i="5"/>
  <c r="C317" i="5"/>
  <c r="A317" i="5"/>
  <c r="L316" i="5"/>
  <c r="D316" i="5"/>
  <c r="C316" i="5"/>
  <c r="A316" i="5"/>
  <c r="L315" i="5"/>
  <c r="D315" i="5"/>
  <c r="C315" i="5"/>
  <c r="A315" i="5"/>
  <c r="L314" i="5"/>
  <c r="D314" i="5"/>
  <c r="C314" i="5"/>
  <c r="A314" i="5"/>
  <c r="L313" i="5"/>
  <c r="D313" i="5"/>
  <c r="C313" i="5"/>
  <c r="A313" i="5"/>
  <c r="L312" i="5"/>
  <c r="D312" i="5"/>
  <c r="C312" i="5"/>
  <c r="A312" i="5"/>
  <c r="L311" i="5"/>
  <c r="D311" i="5"/>
  <c r="C311" i="5"/>
  <c r="A311" i="5"/>
  <c r="L310" i="5"/>
  <c r="D310" i="5"/>
  <c r="C310" i="5"/>
  <c r="A310" i="5"/>
  <c r="L309" i="5"/>
  <c r="D309" i="5"/>
  <c r="C309" i="5"/>
  <c r="A309" i="5"/>
  <c r="L308" i="5"/>
  <c r="D308" i="5"/>
  <c r="C308" i="5"/>
  <c r="A308" i="5"/>
  <c r="L307" i="5"/>
  <c r="D307" i="5"/>
  <c r="C307" i="5"/>
  <c r="A307" i="5"/>
  <c r="L306" i="5"/>
  <c r="D306" i="5"/>
  <c r="C306" i="5"/>
  <c r="A306" i="5"/>
  <c r="L305" i="5"/>
  <c r="D305" i="5"/>
  <c r="C305" i="5"/>
  <c r="A305" i="5"/>
  <c r="L304" i="5"/>
  <c r="D304" i="5"/>
  <c r="C304" i="5"/>
  <c r="A304" i="5"/>
  <c r="L303" i="5"/>
  <c r="D303" i="5"/>
  <c r="C303" i="5"/>
  <c r="A303" i="5"/>
  <c r="L302" i="5"/>
  <c r="D302" i="5"/>
  <c r="C302" i="5"/>
  <c r="A302" i="5"/>
  <c r="L301" i="5"/>
  <c r="D301" i="5"/>
  <c r="C301" i="5"/>
  <c r="A301" i="5"/>
  <c r="L300" i="5"/>
  <c r="D300" i="5"/>
  <c r="C300" i="5"/>
  <c r="A300" i="5"/>
  <c r="L299" i="5"/>
  <c r="D299" i="5"/>
  <c r="C299" i="5"/>
  <c r="A299" i="5"/>
  <c r="L298" i="5"/>
  <c r="D298" i="5"/>
  <c r="C298" i="5"/>
  <c r="A298" i="5"/>
  <c r="L297" i="5"/>
  <c r="D297" i="5"/>
  <c r="C297" i="5"/>
  <c r="A297" i="5"/>
  <c r="L296" i="5"/>
  <c r="D296" i="5"/>
  <c r="C296" i="5"/>
  <c r="A296" i="5"/>
  <c r="L295" i="5"/>
  <c r="D295" i="5"/>
  <c r="C295" i="5"/>
  <c r="A295" i="5"/>
  <c r="L294" i="5"/>
  <c r="D294" i="5"/>
  <c r="C294" i="5"/>
  <c r="A294" i="5"/>
  <c r="L293" i="5"/>
  <c r="D293" i="5"/>
  <c r="C293" i="5"/>
  <c r="A293" i="5"/>
  <c r="L292" i="5"/>
  <c r="D292" i="5"/>
  <c r="C292" i="5"/>
  <c r="A292" i="5"/>
  <c r="L291" i="5"/>
  <c r="D291" i="5"/>
  <c r="C291" i="5"/>
  <c r="A291" i="5"/>
  <c r="L290" i="5"/>
  <c r="D290" i="5"/>
  <c r="C290" i="5"/>
  <c r="A290" i="5"/>
  <c r="L289" i="5"/>
  <c r="D289" i="5"/>
  <c r="C289" i="5"/>
  <c r="A289" i="5"/>
  <c r="L288" i="5"/>
  <c r="D288" i="5"/>
  <c r="C288" i="5"/>
  <c r="A288" i="5"/>
  <c r="L287" i="5"/>
  <c r="D287" i="5"/>
  <c r="C287" i="5"/>
  <c r="A287" i="5"/>
  <c r="L286" i="5"/>
  <c r="D286" i="5"/>
  <c r="C286" i="5"/>
  <c r="A286" i="5"/>
  <c r="L285" i="5"/>
  <c r="D285" i="5"/>
  <c r="C285" i="5"/>
  <c r="A285" i="5"/>
  <c r="L284" i="5"/>
  <c r="D284" i="5"/>
  <c r="C284" i="5"/>
  <c r="A284" i="5"/>
  <c r="L283" i="5"/>
  <c r="D283" i="5"/>
  <c r="C283" i="5"/>
  <c r="A283" i="5"/>
  <c r="L282" i="5"/>
  <c r="D282" i="5"/>
  <c r="C282" i="5"/>
  <c r="A282" i="5"/>
  <c r="L281" i="5"/>
  <c r="D281" i="5"/>
  <c r="C281" i="5"/>
  <c r="A281" i="5"/>
  <c r="L280" i="5"/>
  <c r="D280" i="5"/>
  <c r="C280" i="5"/>
  <c r="A280" i="5"/>
  <c r="L279" i="5"/>
  <c r="D279" i="5"/>
  <c r="C279" i="5"/>
  <c r="A279" i="5"/>
  <c r="L278" i="5"/>
  <c r="D278" i="5"/>
  <c r="C278" i="5"/>
  <c r="A278" i="5"/>
  <c r="L277" i="5"/>
  <c r="D277" i="5"/>
  <c r="C277" i="5"/>
  <c r="A277" i="5"/>
  <c r="L276" i="5"/>
  <c r="D276" i="5"/>
  <c r="C276" i="5"/>
  <c r="A276" i="5"/>
  <c r="L275" i="5"/>
  <c r="D275" i="5"/>
  <c r="C275" i="5"/>
  <c r="A275" i="5"/>
  <c r="L274" i="5"/>
  <c r="D274" i="5"/>
  <c r="C274" i="5"/>
  <c r="A274" i="5"/>
  <c r="L273" i="5"/>
  <c r="D273" i="5"/>
  <c r="C273" i="5"/>
  <c r="A273" i="5"/>
  <c r="L272" i="5"/>
  <c r="D272" i="5"/>
  <c r="C272" i="5"/>
  <c r="A272" i="5"/>
  <c r="L271" i="5"/>
  <c r="D271" i="5"/>
  <c r="C271" i="5"/>
  <c r="A271" i="5"/>
  <c r="L270" i="5"/>
  <c r="D270" i="5"/>
  <c r="C270" i="5"/>
  <c r="A270" i="5"/>
  <c r="L269" i="5"/>
  <c r="D269" i="5"/>
  <c r="C269" i="5"/>
  <c r="A269" i="5"/>
  <c r="L268" i="5"/>
  <c r="D268" i="5"/>
  <c r="C268" i="5"/>
  <c r="A268" i="5"/>
  <c r="L267" i="5"/>
  <c r="D267" i="5"/>
  <c r="C267" i="5"/>
  <c r="A267" i="5"/>
  <c r="L266" i="5"/>
  <c r="D266" i="5"/>
  <c r="C266" i="5"/>
  <c r="A266" i="5"/>
  <c r="L265" i="5"/>
  <c r="D265" i="5"/>
  <c r="C265" i="5"/>
  <c r="A265" i="5"/>
  <c r="L264" i="5"/>
  <c r="D264" i="5"/>
  <c r="C264" i="5"/>
  <c r="A264" i="5"/>
  <c r="L263" i="5"/>
  <c r="D263" i="5"/>
  <c r="C263" i="5"/>
  <c r="A263" i="5"/>
  <c r="L262" i="5"/>
  <c r="D262" i="5"/>
  <c r="C262" i="5"/>
  <c r="A262" i="5"/>
  <c r="L261" i="5"/>
  <c r="D261" i="5"/>
  <c r="C261" i="5"/>
  <c r="A261" i="5"/>
  <c r="L260" i="5"/>
  <c r="D260" i="5"/>
  <c r="C260" i="5"/>
  <c r="A260" i="5"/>
  <c r="L259" i="5"/>
  <c r="D259" i="5"/>
  <c r="C259" i="5"/>
  <c r="A259" i="5"/>
  <c r="L258" i="5"/>
  <c r="D258" i="5"/>
  <c r="C258" i="5"/>
  <c r="A258" i="5"/>
  <c r="L257" i="5"/>
  <c r="D257" i="5"/>
  <c r="C257" i="5"/>
  <c r="A257" i="5"/>
  <c r="L256" i="5"/>
  <c r="D256" i="5"/>
  <c r="C256" i="5"/>
  <c r="A256" i="5"/>
  <c r="L255" i="5"/>
  <c r="D255" i="5"/>
  <c r="C255" i="5"/>
  <c r="A255" i="5"/>
  <c r="L254" i="5"/>
  <c r="D254" i="5"/>
  <c r="C254" i="5"/>
  <c r="A254" i="5"/>
  <c r="L253" i="5"/>
  <c r="D253" i="5"/>
  <c r="C253" i="5"/>
  <c r="A253" i="5"/>
  <c r="L252" i="5"/>
  <c r="D252" i="5"/>
  <c r="C252" i="5"/>
  <c r="A252" i="5"/>
  <c r="L251" i="5"/>
  <c r="D251" i="5"/>
  <c r="C251" i="5"/>
  <c r="A251" i="5"/>
  <c r="L250" i="5"/>
  <c r="D250" i="5"/>
  <c r="C250" i="5"/>
  <c r="A250" i="5"/>
  <c r="L249" i="5"/>
  <c r="D249" i="5"/>
  <c r="C249" i="5"/>
  <c r="A249" i="5"/>
  <c r="L248" i="5"/>
  <c r="D248" i="5"/>
  <c r="C248" i="5"/>
  <c r="A248" i="5"/>
  <c r="L247" i="5"/>
  <c r="D247" i="5"/>
  <c r="C247" i="5"/>
  <c r="A247" i="5"/>
  <c r="L246" i="5"/>
  <c r="D246" i="5"/>
  <c r="C246" i="5"/>
  <c r="A246" i="5"/>
  <c r="L245" i="5"/>
  <c r="D245" i="5"/>
  <c r="C245" i="5"/>
  <c r="A245" i="5"/>
  <c r="L244" i="5"/>
  <c r="D244" i="5"/>
  <c r="C244" i="5"/>
  <c r="A244" i="5"/>
  <c r="L243" i="5"/>
  <c r="D243" i="5"/>
  <c r="C243" i="5"/>
  <c r="A243" i="5"/>
  <c r="L242" i="5"/>
  <c r="D242" i="5"/>
  <c r="C242" i="5"/>
  <c r="A242" i="5"/>
  <c r="L241" i="5"/>
  <c r="D241" i="5"/>
  <c r="C241" i="5"/>
  <c r="A241" i="5"/>
  <c r="L240" i="5"/>
  <c r="D240" i="5"/>
  <c r="C240" i="5"/>
  <c r="A240" i="5"/>
  <c r="L239" i="5"/>
  <c r="D239" i="5"/>
  <c r="C239" i="5"/>
  <c r="A239" i="5"/>
  <c r="L238" i="5"/>
  <c r="D238" i="5"/>
  <c r="C238" i="5"/>
  <c r="A238" i="5"/>
  <c r="L237" i="5"/>
  <c r="D237" i="5"/>
  <c r="C237" i="5"/>
  <c r="A237" i="5"/>
  <c r="L236" i="5"/>
  <c r="D236" i="5"/>
  <c r="C236" i="5"/>
  <c r="A236" i="5"/>
  <c r="L235" i="5"/>
  <c r="D235" i="5"/>
  <c r="C235" i="5"/>
  <c r="A235" i="5"/>
  <c r="L234" i="5"/>
  <c r="D234" i="5"/>
  <c r="C234" i="5"/>
  <c r="A234" i="5"/>
  <c r="L233" i="5"/>
  <c r="D233" i="5"/>
  <c r="C233" i="5"/>
  <c r="A233" i="5"/>
  <c r="L232" i="5"/>
  <c r="D232" i="5"/>
  <c r="C232" i="5"/>
  <c r="A232" i="5"/>
  <c r="L231" i="5"/>
  <c r="D231" i="5"/>
  <c r="C231" i="5"/>
  <c r="A231" i="5"/>
  <c r="L230" i="5"/>
  <c r="D230" i="5"/>
  <c r="C230" i="5"/>
  <c r="A230" i="5"/>
  <c r="L229" i="5"/>
  <c r="D229" i="5"/>
  <c r="C229" i="5"/>
  <c r="A229" i="5"/>
  <c r="L228" i="5"/>
  <c r="D228" i="5"/>
  <c r="C228" i="5"/>
  <c r="A228" i="5"/>
  <c r="L227" i="5"/>
  <c r="D227" i="5"/>
  <c r="C227" i="5"/>
  <c r="A227" i="5"/>
  <c r="L226" i="5"/>
  <c r="D226" i="5"/>
  <c r="C226" i="5"/>
  <c r="A226" i="5"/>
  <c r="L225" i="5"/>
  <c r="D225" i="5"/>
  <c r="C225" i="5"/>
  <c r="A225" i="5"/>
  <c r="L224" i="5"/>
  <c r="D224" i="5"/>
  <c r="C224" i="5"/>
  <c r="A224" i="5"/>
  <c r="L223" i="5"/>
  <c r="D223" i="5"/>
  <c r="C223" i="5"/>
  <c r="A223" i="5"/>
  <c r="L222" i="5"/>
  <c r="D222" i="5"/>
  <c r="C222" i="5"/>
  <c r="A222" i="5"/>
  <c r="L221" i="5"/>
  <c r="D221" i="5"/>
  <c r="C221" i="5"/>
  <c r="A221" i="5"/>
  <c r="L220" i="5"/>
  <c r="D220" i="5"/>
  <c r="C220" i="5"/>
  <c r="A220" i="5"/>
  <c r="L219" i="5"/>
  <c r="D219" i="5"/>
  <c r="C219" i="5"/>
  <c r="A219" i="5"/>
  <c r="L218" i="5"/>
  <c r="D218" i="5"/>
  <c r="C218" i="5"/>
  <c r="A218" i="5"/>
  <c r="L217" i="5"/>
  <c r="D217" i="5"/>
  <c r="C217" i="5"/>
  <c r="A217" i="5"/>
  <c r="L216" i="5"/>
  <c r="D216" i="5"/>
  <c r="C216" i="5"/>
  <c r="A216" i="5"/>
  <c r="L215" i="5"/>
  <c r="D215" i="5"/>
  <c r="C215" i="5"/>
  <c r="A215" i="5"/>
  <c r="L214" i="5"/>
  <c r="D214" i="5"/>
  <c r="C214" i="5"/>
  <c r="A214" i="5"/>
  <c r="L213" i="5"/>
  <c r="D213" i="5"/>
  <c r="C213" i="5"/>
  <c r="A213" i="5"/>
  <c r="L212" i="5"/>
  <c r="D212" i="5"/>
  <c r="C212" i="5"/>
  <c r="A212" i="5"/>
  <c r="L211" i="5"/>
  <c r="D211" i="5"/>
  <c r="C211" i="5"/>
  <c r="A211" i="5"/>
  <c r="L210" i="5"/>
  <c r="D210" i="5"/>
  <c r="C210" i="5"/>
  <c r="A210" i="5"/>
  <c r="L209" i="5"/>
  <c r="D209" i="5"/>
  <c r="C209" i="5"/>
  <c r="A209" i="5"/>
  <c r="L208" i="5"/>
  <c r="D208" i="5"/>
  <c r="C208" i="5"/>
  <c r="A208" i="5"/>
  <c r="L207" i="5"/>
  <c r="D207" i="5"/>
  <c r="C207" i="5"/>
  <c r="A207" i="5"/>
  <c r="L206" i="5"/>
  <c r="D206" i="5"/>
  <c r="C206" i="5"/>
  <c r="A206" i="5"/>
  <c r="L205" i="5"/>
  <c r="D205" i="5"/>
  <c r="C205" i="5"/>
  <c r="A205" i="5"/>
  <c r="L204" i="5"/>
  <c r="D204" i="5"/>
  <c r="C204" i="5"/>
  <c r="A204" i="5"/>
  <c r="L203" i="5"/>
  <c r="D203" i="5"/>
  <c r="C203" i="5"/>
  <c r="A203" i="5"/>
  <c r="L202" i="5"/>
  <c r="D202" i="5"/>
  <c r="C202" i="5"/>
  <c r="A202" i="5"/>
  <c r="L201" i="5"/>
  <c r="D201" i="5"/>
  <c r="C201" i="5"/>
  <c r="A201" i="5"/>
  <c r="L200" i="5"/>
  <c r="D200" i="5"/>
  <c r="C200" i="5"/>
  <c r="A200" i="5"/>
  <c r="L199" i="5"/>
  <c r="D199" i="5"/>
  <c r="C199" i="5"/>
  <c r="A199" i="5"/>
  <c r="L198" i="5"/>
  <c r="D198" i="5"/>
  <c r="C198" i="5"/>
  <c r="A198" i="5"/>
  <c r="L197" i="5"/>
  <c r="D197" i="5"/>
  <c r="C197" i="5"/>
  <c r="A197" i="5"/>
  <c r="L196" i="5"/>
  <c r="D196" i="5"/>
  <c r="C196" i="5"/>
  <c r="A196" i="5"/>
  <c r="L195" i="5"/>
  <c r="D195" i="5"/>
  <c r="C195" i="5"/>
  <c r="A195" i="5"/>
  <c r="L194" i="5"/>
  <c r="D194" i="5"/>
  <c r="C194" i="5"/>
  <c r="A194" i="5"/>
  <c r="L193" i="5"/>
  <c r="D193" i="5"/>
  <c r="C193" i="5"/>
  <c r="A193" i="5"/>
  <c r="L192" i="5"/>
  <c r="D192" i="5"/>
  <c r="C192" i="5"/>
  <c r="A192" i="5"/>
  <c r="L191" i="5"/>
  <c r="D191" i="5"/>
  <c r="C191" i="5"/>
  <c r="A191" i="5"/>
  <c r="L190" i="5"/>
  <c r="D190" i="5"/>
  <c r="C190" i="5"/>
  <c r="A190" i="5"/>
  <c r="L189" i="5"/>
  <c r="D189" i="5"/>
  <c r="C189" i="5"/>
  <c r="A189" i="5"/>
  <c r="L188" i="5"/>
  <c r="D188" i="5"/>
  <c r="C188" i="5"/>
  <c r="A188" i="5"/>
  <c r="L187" i="5"/>
  <c r="D187" i="5"/>
  <c r="C187" i="5"/>
  <c r="A187" i="5"/>
  <c r="L186" i="5"/>
  <c r="D186" i="5"/>
  <c r="C186" i="5"/>
  <c r="A186" i="5"/>
  <c r="L185" i="5"/>
  <c r="D185" i="5"/>
  <c r="C185" i="5"/>
  <c r="A185" i="5"/>
  <c r="L184" i="5"/>
  <c r="D184" i="5"/>
  <c r="C184" i="5"/>
  <c r="A184" i="5"/>
  <c r="L183" i="5"/>
  <c r="D183" i="5"/>
  <c r="C183" i="5"/>
  <c r="A183" i="5"/>
  <c r="L182" i="5"/>
  <c r="D182" i="5"/>
  <c r="C182" i="5"/>
  <c r="A182" i="5"/>
  <c r="L181" i="5"/>
  <c r="D181" i="5"/>
  <c r="C181" i="5"/>
  <c r="A181" i="5"/>
  <c r="L180" i="5"/>
  <c r="D180" i="5"/>
  <c r="C180" i="5"/>
  <c r="A180" i="5"/>
  <c r="L179" i="5"/>
  <c r="D179" i="5"/>
  <c r="C179" i="5"/>
  <c r="A179" i="5"/>
  <c r="L178" i="5"/>
  <c r="D178" i="5"/>
  <c r="C178" i="5"/>
  <c r="A178" i="5"/>
  <c r="L177" i="5"/>
  <c r="D177" i="5"/>
  <c r="C177" i="5"/>
  <c r="A177" i="5"/>
  <c r="L176" i="5"/>
  <c r="D176" i="5"/>
  <c r="C176" i="5"/>
  <c r="A176" i="5"/>
  <c r="L175" i="5"/>
  <c r="D175" i="5"/>
  <c r="C175" i="5"/>
  <c r="A175" i="5"/>
  <c r="L174" i="5"/>
  <c r="D174" i="5"/>
  <c r="C174" i="5"/>
  <c r="A174" i="5"/>
  <c r="L173" i="5"/>
  <c r="D173" i="5"/>
  <c r="C173" i="5"/>
  <c r="A173" i="5"/>
  <c r="L172" i="5"/>
  <c r="D172" i="5"/>
  <c r="C172" i="5"/>
  <c r="A172" i="5"/>
  <c r="L171" i="5"/>
  <c r="D171" i="5"/>
  <c r="C171" i="5"/>
  <c r="A171" i="5"/>
  <c r="L170" i="5"/>
  <c r="D170" i="5"/>
  <c r="C170" i="5"/>
  <c r="A170" i="5"/>
  <c r="L169" i="5"/>
  <c r="D169" i="5"/>
  <c r="C169" i="5"/>
  <c r="A169" i="5"/>
  <c r="L168" i="5"/>
  <c r="D168" i="5"/>
  <c r="C168" i="5"/>
  <c r="A168" i="5"/>
  <c r="L167" i="5"/>
  <c r="D167" i="5"/>
  <c r="C167" i="5"/>
  <c r="A167" i="5"/>
  <c r="L166" i="5"/>
  <c r="D166" i="5"/>
  <c r="C166" i="5"/>
  <c r="A166" i="5"/>
  <c r="L165" i="5"/>
  <c r="D165" i="5"/>
  <c r="C165" i="5"/>
  <c r="A165" i="5"/>
  <c r="L164" i="5"/>
  <c r="D164" i="5"/>
  <c r="C164" i="5"/>
  <c r="A164" i="5"/>
  <c r="L163" i="5"/>
  <c r="D163" i="5"/>
  <c r="C163" i="5"/>
  <c r="A163" i="5"/>
  <c r="L162" i="5"/>
  <c r="D162" i="5"/>
  <c r="C162" i="5"/>
  <c r="A162" i="5"/>
  <c r="L161" i="5"/>
  <c r="D161" i="5"/>
  <c r="C161" i="5"/>
  <c r="A161" i="5"/>
  <c r="L160" i="5"/>
  <c r="D160" i="5"/>
  <c r="C160" i="5"/>
  <c r="A160" i="5"/>
  <c r="L159" i="5"/>
  <c r="D159" i="5"/>
  <c r="C159" i="5"/>
  <c r="A159" i="5"/>
  <c r="L158" i="5"/>
  <c r="D158" i="5"/>
  <c r="C158" i="5"/>
  <c r="A158" i="5"/>
  <c r="L157" i="5"/>
  <c r="D157" i="5"/>
  <c r="C157" i="5"/>
  <c r="A157" i="5"/>
  <c r="L156" i="5"/>
  <c r="D156" i="5"/>
  <c r="C156" i="5"/>
  <c r="A156" i="5"/>
  <c r="L155" i="5"/>
  <c r="D155" i="5"/>
  <c r="C155" i="5"/>
  <c r="A155" i="5"/>
  <c r="L154" i="5"/>
  <c r="D154" i="5"/>
  <c r="C154" i="5"/>
  <c r="A154" i="5"/>
  <c r="L153" i="5"/>
  <c r="D153" i="5"/>
  <c r="C153" i="5"/>
  <c r="A153" i="5"/>
  <c r="L152" i="5"/>
  <c r="D152" i="5"/>
  <c r="C152" i="5"/>
  <c r="A152" i="5"/>
  <c r="L151" i="5"/>
  <c r="D151" i="5"/>
  <c r="C151" i="5"/>
  <c r="A151" i="5"/>
  <c r="L150" i="5"/>
  <c r="D150" i="5"/>
  <c r="C150" i="5"/>
  <c r="A150" i="5"/>
  <c r="L149" i="5"/>
  <c r="D149" i="5"/>
  <c r="C149" i="5"/>
  <c r="A149" i="5"/>
  <c r="L148" i="5"/>
  <c r="D148" i="5"/>
  <c r="C148" i="5"/>
  <c r="A148" i="5"/>
  <c r="L147" i="5"/>
  <c r="D147" i="5"/>
  <c r="C147" i="5"/>
  <c r="A147" i="5"/>
  <c r="L146" i="5"/>
  <c r="D146" i="5"/>
  <c r="C146" i="5"/>
  <c r="A146" i="5"/>
  <c r="L145" i="5"/>
  <c r="D145" i="5"/>
  <c r="C145" i="5"/>
  <c r="A145" i="5"/>
  <c r="L144" i="5"/>
  <c r="D144" i="5"/>
  <c r="C144" i="5"/>
  <c r="A144" i="5"/>
  <c r="L143" i="5"/>
  <c r="D143" i="5"/>
  <c r="C143" i="5"/>
  <c r="A143" i="5"/>
  <c r="L142" i="5"/>
  <c r="D142" i="5"/>
  <c r="C142" i="5"/>
  <c r="A142" i="5"/>
  <c r="L141" i="5"/>
  <c r="D141" i="5"/>
  <c r="C141" i="5"/>
  <c r="A141" i="5"/>
  <c r="L140" i="5"/>
  <c r="D140" i="5"/>
  <c r="C140" i="5"/>
  <c r="A140" i="5"/>
  <c r="L139" i="5"/>
  <c r="D139" i="5"/>
  <c r="C139" i="5"/>
  <c r="A139" i="5"/>
  <c r="L138" i="5"/>
  <c r="D138" i="5"/>
  <c r="C138" i="5"/>
  <c r="A138" i="5"/>
  <c r="L137" i="5"/>
  <c r="D137" i="5"/>
  <c r="C137" i="5"/>
  <c r="A137" i="5"/>
  <c r="L136" i="5"/>
  <c r="D136" i="5"/>
  <c r="C136" i="5"/>
  <c r="A136" i="5"/>
  <c r="L135" i="5"/>
  <c r="D135" i="5"/>
  <c r="C135" i="5"/>
  <c r="A135" i="5"/>
  <c r="L134" i="5"/>
  <c r="D134" i="5"/>
  <c r="C134" i="5"/>
  <c r="A134" i="5"/>
  <c r="L133" i="5"/>
  <c r="D133" i="5"/>
  <c r="C133" i="5"/>
  <c r="A133" i="5"/>
  <c r="L132" i="5"/>
  <c r="D132" i="5"/>
  <c r="C132" i="5"/>
  <c r="A132" i="5"/>
  <c r="L131" i="5"/>
  <c r="D131" i="5"/>
  <c r="C131" i="5"/>
  <c r="A131" i="5"/>
  <c r="L130" i="5"/>
  <c r="D130" i="5"/>
  <c r="C130" i="5"/>
  <c r="A130" i="5"/>
  <c r="L129" i="5"/>
  <c r="D129" i="5"/>
  <c r="C129" i="5"/>
  <c r="A129" i="5"/>
  <c r="L128" i="5"/>
  <c r="D128" i="5"/>
  <c r="C128" i="5"/>
  <c r="A128" i="5"/>
  <c r="L127" i="5"/>
  <c r="D127" i="5"/>
  <c r="C127" i="5"/>
  <c r="A127" i="5"/>
  <c r="L126" i="5"/>
  <c r="D126" i="5"/>
  <c r="C126" i="5"/>
  <c r="A126" i="5"/>
  <c r="L125" i="5"/>
  <c r="D125" i="5"/>
  <c r="C125" i="5"/>
  <c r="A125" i="5"/>
  <c r="L124" i="5"/>
  <c r="D124" i="5"/>
  <c r="C124" i="5"/>
  <c r="A124" i="5"/>
  <c r="L123" i="5"/>
  <c r="D123" i="5"/>
  <c r="C123" i="5"/>
  <c r="A123" i="5"/>
  <c r="L122" i="5"/>
  <c r="D122" i="5"/>
  <c r="C122" i="5"/>
  <c r="A122" i="5"/>
  <c r="L121" i="5"/>
  <c r="D121" i="5"/>
  <c r="C121" i="5"/>
  <c r="A121" i="5"/>
  <c r="L120" i="5"/>
  <c r="D120" i="5"/>
  <c r="C120" i="5"/>
  <c r="A120" i="5"/>
  <c r="L119" i="5"/>
  <c r="D119" i="5"/>
  <c r="C119" i="5"/>
  <c r="A119" i="5"/>
  <c r="L118" i="5"/>
  <c r="D118" i="5"/>
  <c r="C118" i="5"/>
  <c r="A118" i="5"/>
  <c r="L117" i="5"/>
  <c r="D117" i="5"/>
  <c r="C117" i="5"/>
  <c r="A117" i="5"/>
  <c r="L116" i="5"/>
  <c r="D116" i="5"/>
  <c r="C116" i="5"/>
  <c r="A116" i="5"/>
  <c r="L115" i="5"/>
  <c r="D115" i="5"/>
  <c r="C115" i="5"/>
  <c r="A115" i="5"/>
  <c r="L114" i="5"/>
  <c r="D114" i="5"/>
  <c r="C114" i="5"/>
  <c r="A114" i="5"/>
  <c r="L113" i="5"/>
  <c r="D113" i="5"/>
  <c r="C113" i="5"/>
  <c r="A113" i="5"/>
  <c r="L112" i="5"/>
  <c r="D112" i="5"/>
  <c r="C112" i="5"/>
  <c r="A112" i="5"/>
  <c r="L111" i="5"/>
  <c r="D111" i="5"/>
  <c r="C111" i="5"/>
  <c r="A111" i="5"/>
  <c r="L110" i="5"/>
  <c r="D110" i="5"/>
  <c r="C110" i="5"/>
  <c r="A110" i="5"/>
  <c r="L109" i="5"/>
  <c r="D109" i="5"/>
  <c r="C109" i="5"/>
  <c r="A109" i="5"/>
  <c r="L108" i="5"/>
  <c r="D108" i="5"/>
  <c r="C108" i="5"/>
  <c r="A108" i="5"/>
  <c r="L107" i="5"/>
  <c r="D107" i="5"/>
  <c r="C107" i="5"/>
  <c r="A107" i="5"/>
  <c r="L106" i="5"/>
  <c r="D106" i="5"/>
  <c r="C106" i="5"/>
  <c r="A106" i="5"/>
  <c r="L105" i="5"/>
  <c r="D105" i="5"/>
  <c r="C105" i="5"/>
  <c r="A105" i="5"/>
  <c r="L104" i="5"/>
  <c r="D104" i="5"/>
  <c r="C104" i="5"/>
  <c r="A104" i="5"/>
  <c r="L103" i="5"/>
  <c r="D103" i="5"/>
  <c r="C103" i="5"/>
  <c r="A103" i="5"/>
  <c r="L102" i="5"/>
  <c r="D102" i="5"/>
  <c r="C102" i="5"/>
  <c r="A102" i="5"/>
  <c r="L101" i="5"/>
  <c r="D101" i="5"/>
  <c r="C101" i="5"/>
  <c r="A101" i="5"/>
  <c r="L100" i="5"/>
  <c r="D100" i="5"/>
  <c r="C100" i="5"/>
  <c r="A100" i="5"/>
  <c r="L99" i="5"/>
  <c r="D99" i="5"/>
  <c r="C99" i="5"/>
  <c r="A99" i="5"/>
  <c r="L98" i="5"/>
  <c r="D98" i="5"/>
  <c r="C98" i="5"/>
  <c r="A98" i="5"/>
  <c r="L97" i="5"/>
  <c r="D97" i="5"/>
  <c r="C97" i="5"/>
  <c r="A97" i="5"/>
  <c r="L96" i="5"/>
  <c r="D96" i="5"/>
  <c r="C96" i="5"/>
  <c r="A96" i="5"/>
  <c r="L95" i="5"/>
  <c r="D95" i="5"/>
  <c r="C95" i="5"/>
  <c r="A95" i="5"/>
  <c r="L94" i="5"/>
  <c r="D94" i="5"/>
  <c r="C94" i="5"/>
  <c r="A94" i="5"/>
  <c r="L93" i="5"/>
  <c r="D93" i="5"/>
  <c r="C93" i="5"/>
  <c r="A93" i="5"/>
  <c r="L92" i="5"/>
  <c r="D92" i="5"/>
  <c r="C92" i="5"/>
  <c r="A92" i="5"/>
  <c r="L91" i="5"/>
  <c r="D91" i="5"/>
  <c r="C91" i="5"/>
  <c r="A91" i="5"/>
  <c r="L90" i="5"/>
  <c r="D90" i="5"/>
  <c r="C90" i="5"/>
  <c r="A90" i="5"/>
  <c r="L89" i="5"/>
  <c r="D89" i="5"/>
  <c r="C89" i="5"/>
  <c r="A89" i="5"/>
  <c r="L88" i="5"/>
  <c r="D88" i="5"/>
  <c r="C88" i="5"/>
  <c r="A88" i="5"/>
  <c r="L87" i="5"/>
  <c r="D87" i="5"/>
  <c r="C87" i="5"/>
  <c r="A87" i="5"/>
  <c r="L86" i="5"/>
  <c r="D86" i="5"/>
  <c r="C86" i="5"/>
  <c r="A86" i="5"/>
  <c r="L85" i="5"/>
  <c r="D85" i="5"/>
  <c r="C85" i="5"/>
  <c r="A85" i="5"/>
  <c r="L84" i="5"/>
  <c r="D84" i="5"/>
  <c r="C84" i="5"/>
  <c r="A84" i="5"/>
  <c r="L83" i="5"/>
  <c r="D83" i="5"/>
  <c r="C83" i="5"/>
  <c r="A83" i="5"/>
  <c r="L82" i="5"/>
  <c r="D82" i="5"/>
  <c r="C82" i="5"/>
  <c r="A82" i="5"/>
  <c r="L81" i="5"/>
  <c r="D81" i="5"/>
  <c r="C81" i="5"/>
  <c r="A81" i="5"/>
  <c r="L80" i="5"/>
  <c r="D80" i="5"/>
  <c r="C80" i="5"/>
  <c r="A80" i="5"/>
  <c r="L79" i="5"/>
  <c r="D79" i="5"/>
  <c r="C79" i="5"/>
  <c r="A79" i="5"/>
  <c r="L78" i="5"/>
  <c r="D78" i="5"/>
  <c r="C78" i="5"/>
  <c r="A78" i="5"/>
  <c r="L77" i="5"/>
  <c r="D77" i="5"/>
  <c r="C77" i="5"/>
  <c r="A77" i="5"/>
  <c r="L76" i="5"/>
  <c r="D76" i="5"/>
  <c r="C76" i="5"/>
  <c r="A76" i="5"/>
  <c r="L75" i="5"/>
  <c r="D75" i="5"/>
  <c r="C75" i="5"/>
  <c r="A75" i="5"/>
  <c r="L74" i="5"/>
  <c r="D74" i="5"/>
  <c r="C74" i="5"/>
  <c r="A74" i="5"/>
  <c r="L73" i="5"/>
  <c r="D73" i="5"/>
  <c r="C73" i="5"/>
  <c r="A73" i="5"/>
  <c r="L72" i="5"/>
  <c r="D72" i="5"/>
  <c r="C72" i="5"/>
  <c r="A72" i="5"/>
  <c r="L71" i="5"/>
  <c r="D71" i="5"/>
  <c r="C71" i="5"/>
  <c r="A71" i="5"/>
  <c r="L70" i="5"/>
  <c r="D70" i="5"/>
  <c r="C70" i="5"/>
  <c r="A70" i="5"/>
  <c r="L69" i="5"/>
  <c r="D69" i="5"/>
  <c r="C69" i="5"/>
  <c r="A69" i="5"/>
  <c r="L68" i="5"/>
  <c r="D68" i="5"/>
  <c r="C68" i="5"/>
  <c r="A68" i="5"/>
  <c r="L67" i="5"/>
  <c r="D67" i="5"/>
  <c r="C67" i="5"/>
  <c r="A67" i="5"/>
  <c r="L66" i="5"/>
  <c r="D66" i="5"/>
  <c r="C66" i="5"/>
  <c r="A66" i="5"/>
  <c r="L65" i="5"/>
  <c r="D65" i="5"/>
  <c r="C65" i="5"/>
  <c r="A65" i="5"/>
  <c r="L64" i="5"/>
  <c r="D64" i="5"/>
  <c r="C64" i="5"/>
  <c r="A64" i="5"/>
  <c r="L63" i="5"/>
  <c r="D63" i="5"/>
  <c r="C63" i="5"/>
  <c r="A63" i="5"/>
  <c r="L62" i="5"/>
  <c r="D62" i="5"/>
  <c r="C62" i="5"/>
  <c r="A62" i="5"/>
  <c r="L61" i="5"/>
  <c r="D61" i="5"/>
  <c r="C61" i="5"/>
  <c r="A61" i="5"/>
  <c r="L60" i="5"/>
  <c r="D60" i="5"/>
  <c r="C60" i="5"/>
  <c r="A60" i="5"/>
  <c r="L59" i="5"/>
  <c r="D59" i="5"/>
  <c r="C59" i="5"/>
  <c r="A59" i="5"/>
  <c r="L58" i="5"/>
  <c r="D58" i="5"/>
  <c r="C58" i="5"/>
  <c r="A58" i="5"/>
  <c r="L57" i="5"/>
  <c r="D57" i="5"/>
  <c r="C57" i="5"/>
  <c r="A57" i="5"/>
  <c r="L56" i="5"/>
  <c r="D56" i="5"/>
  <c r="C56" i="5"/>
  <c r="A56" i="5"/>
  <c r="L55" i="5"/>
  <c r="D55" i="5"/>
  <c r="C55" i="5"/>
  <c r="A55" i="5"/>
  <c r="L54" i="5"/>
  <c r="D54" i="5"/>
  <c r="C54" i="5"/>
  <c r="A54" i="5"/>
  <c r="L53" i="5"/>
  <c r="D53" i="5"/>
  <c r="C53" i="5"/>
  <c r="A53" i="5"/>
  <c r="L52" i="5"/>
  <c r="D52" i="5"/>
  <c r="C52" i="5"/>
  <c r="A52" i="5"/>
  <c r="L51" i="5"/>
  <c r="D51" i="5"/>
  <c r="C51" i="5"/>
  <c r="A51" i="5"/>
  <c r="L50" i="5"/>
  <c r="D50" i="5"/>
  <c r="C50" i="5"/>
  <c r="A50" i="5"/>
  <c r="L49" i="5"/>
  <c r="D49" i="5"/>
  <c r="C49" i="5"/>
  <c r="A49" i="5"/>
  <c r="L48" i="5"/>
  <c r="D48" i="5"/>
  <c r="C48" i="5"/>
  <c r="A48" i="5"/>
  <c r="L47" i="5"/>
  <c r="D47" i="5"/>
  <c r="C47" i="5"/>
  <c r="A47" i="5"/>
  <c r="L46" i="5"/>
  <c r="D46" i="5"/>
  <c r="C46" i="5"/>
  <c r="A46" i="5"/>
  <c r="L45" i="5"/>
  <c r="D45" i="5"/>
  <c r="C45" i="5"/>
  <c r="A45" i="5"/>
  <c r="L44" i="5"/>
  <c r="D44" i="5"/>
  <c r="C44" i="5"/>
  <c r="A44" i="5"/>
  <c r="L43" i="5"/>
  <c r="D43" i="5"/>
  <c r="C43" i="5"/>
  <c r="A43" i="5"/>
  <c r="L42" i="5"/>
  <c r="D42" i="5"/>
  <c r="C42" i="5"/>
  <c r="A42" i="5"/>
  <c r="L41" i="5"/>
  <c r="D41" i="5"/>
  <c r="C41" i="5"/>
  <c r="A41" i="5"/>
  <c r="L40" i="5"/>
  <c r="D40" i="5"/>
  <c r="C40" i="5"/>
  <c r="A40" i="5"/>
  <c r="L39" i="5"/>
  <c r="D39" i="5"/>
  <c r="C39" i="5"/>
  <c r="A39" i="5"/>
  <c r="L38" i="5"/>
  <c r="D38" i="5"/>
  <c r="C38" i="5"/>
  <c r="A38" i="5"/>
  <c r="L37" i="5"/>
  <c r="D37" i="5"/>
  <c r="C37" i="5"/>
  <c r="A37" i="5"/>
  <c r="L36" i="5"/>
  <c r="D36" i="5"/>
  <c r="C36" i="5"/>
  <c r="A36" i="5"/>
  <c r="L35" i="5"/>
  <c r="D35" i="5"/>
  <c r="C35" i="5"/>
  <c r="A35" i="5"/>
  <c r="L34" i="5"/>
  <c r="D34" i="5"/>
  <c r="C34" i="5"/>
  <c r="A34" i="5"/>
  <c r="L33" i="5"/>
  <c r="D33" i="5"/>
  <c r="C33" i="5"/>
  <c r="A33" i="5"/>
  <c r="L32" i="5"/>
  <c r="D32" i="5"/>
  <c r="C32" i="5"/>
  <c r="A32" i="5"/>
  <c r="L31" i="5"/>
  <c r="D31" i="5"/>
  <c r="C31" i="5"/>
  <c r="A31" i="5"/>
  <c r="L30" i="5"/>
  <c r="D30" i="5"/>
  <c r="C30" i="5"/>
  <c r="A30" i="5"/>
  <c r="L29" i="5"/>
  <c r="D29" i="5"/>
  <c r="C29" i="5"/>
  <c r="A29" i="5"/>
  <c r="L28" i="5"/>
  <c r="D28" i="5"/>
  <c r="C28" i="5"/>
  <c r="A28" i="5"/>
  <c r="L27" i="5"/>
  <c r="D27" i="5"/>
  <c r="C27" i="5"/>
  <c r="A27" i="5"/>
  <c r="L26" i="5"/>
  <c r="D26" i="5"/>
  <c r="C26" i="5"/>
  <c r="A26" i="5"/>
  <c r="L25" i="5"/>
  <c r="D25" i="5"/>
  <c r="C25" i="5"/>
  <c r="A25" i="5"/>
  <c r="L24" i="5"/>
  <c r="D24" i="5"/>
  <c r="C24" i="5"/>
  <c r="A24" i="5"/>
  <c r="L23" i="5"/>
  <c r="D23" i="5"/>
  <c r="C23" i="5"/>
  <c r="A23" i="5"/>
  <c r="L22" i="5"/>
  <c r="D22" i="5"/>
  <c r="C22" i="5"/>
  <c r="A22" i="5"/>
  <c r="L21" i="5"/>
  <c r="D21" i="5"/>
  <c r="C21" i="5"/>
  <c r="A21" i="5"/>
  <c r="L20" i="5"/>
  <c r="D20" i="5"/>
  <c r="C20" i="5"/>
  <c r="A20" i="5"/>
  <c r="L19" i="5"/>
  <c r="D19" i="5"/>
  <c r="C19" i="5"/>
  <c r="A19" i="5"/>
  <c r="L18" i="5"/>
  <c r="D18" i="5"/>
  <c r="C18" i="5"/>
  <c r="A18" i="5"/>
  <c r="L17" i="5"/>
  <c r="D17" i="5"/>
  <c r="C17" i="5"/>
  <c r="A17" i="5"/>
  <c r="L16" i="5"/>
  <c r="D16" i="5"/>
  <c r="C16" i="5"/>
  <c r="A16" i="5"/>
  <c r="L15" i="5"/>
  <c r="D15" i="5"/>
  <c r="C15" i="5"/>
  <c r="A15" i="5"/>
  <c r="L14" i="5"/>
  <c r="D14" i="5"/>
  <c r="C14" i="5"/>
  <c r="A14" i="5"/>
  <c r="L13" i="5"/>
  <c r="D13" i="5"/>
  <c r="C13" i="5"/>
  <c r="A13" i="5"/>
  <c r="L12" i="5"/>
  <c r="D12" i="5"/>
  <c r="C12" i="5"/>
  <c r="A12" i="5"/>
  <c r="L11" i="5"/>
  <c r="D11" i="5"/>
  <c r="C11" i="5"/>
  <c r="A11" i="5"/>
  <c r="L10" i="5"/>
  <c r="D10" i="5"/>
  <c r="C10" i="5"/>
  <c r="A10" i="5"/>
  <c r="L9" i="5"/>
  <c r="D9" i="5"/>
  <c r="C9" i="5"/>
  <c r="A9" i="5"/>
  <c r="L8" i="5"/>
  <c r="D8" i="5"/>
  <c r="C8" i="5"/>
  <c r="A8" i="5"/>
  <c r="L7" i="5"/>
  <c r="D7" i="5"/>
  <c r="C7" i="5"/>
  <c r="K23" i="3" s="1"/>
  <c r="A7" i="5"/>
  <c r="E38" i="4"/>
  <c r="E37" i="4"/>
  <c r="K28" i="4"/>
  <c r="J28" i="4"/>
  <c r="G28" i="4"/>
  <c r="A28" i="4"/>
  <c r="K27" i="4"/>
  <c r="J27" i="4"/>
  <c r="G27" i="4"/>
  <c r="A27" i="4"/>
  <c r="K26" i="4"/>
  <c r="J26" i="4"/>
  <c r="G26" i="4"/>
  <c r="A26" i="4"/>
  <c r="K25" i="4"/>
  <c r="J25" i="4"/>
  <c r="G25" i="4"/>
  <c r="A25" i="4"/>
  <c r="K24" i="4"/>
  <c r="J24" i="4"/>
  <c r="G24" i="4"/>
  <c r="A24" i="4"/>
  <c r="K23" i="4"/>
  <c r="J23" i="4"/>
  <c r="G23" i="4"/>
  <c r="A23" i="4"/>
  <c r="K22" i="4"/>
  <c r="J22" i="4"/>
  <c r="G22" i="4"/>
  <c r="A22" i="4"/>
  <c r="K21" i="4"/>
  <c r="J21" i="4"/>
  <c r="G21" i="4"/>
  <c r="A21" i="4"/>
  <c r="K20" i="4"/>
  <c r="J20" i="4"/>
  <c r="G20" i="4"/>
  <c r="A20" i="4"/>
  <c r="K19" i="4"/>
  <c r="J19" i="4"/>
  <c r="G19" i="4"/>
  <c r="A19" i="4"/>
  <c r="K18" i="4"/>
  <c r="J18" i="4"/>
  <c r="G18" i="4"/>
  <c r="A18" i="4"/>
  <c r="K17" i="4"/>
  <c r="J17" i="4"/>
  <c r="G17" i="4"/>
  <c r="A17" i="4"/>
  <c r="K16" i="4"/>
  <c r="J16" i="4"/>
  <c r="G16" i="4"/>
  <c r="A16" i="4"/>
  <c r="K15" i="4"/>
  <c r="J15" i="4"/>
  <c r="G15" i="4"/>
  <c r="A15" i="4"/>
  <c r="K14" i="4"/>
  <c r="J14" i="4"/>
  <c r="G14" i="4"/>
  <c r="A14" i="4"/>
  <c r="K13" i="4"/>
  <c r="J13" i="4"/>
  <c r="G13" i="4"/>
  <c r="A13" i="4"/>
  <c r="K12" i="4"/>
  <c r="J12" i="4"/>
  <c r="G12" i="4"/>
  <c r="A12" i="4"/>
  <c r="J11" i="4"/>
  <c r="K11" i="4" s="1"/>
  <c r="A11" i="4"/>
  <c r="J10" i="4"/>
  <c r="K10" i="4" s="1"/>
  <c r="G10" i="4"/>
  <c r="D12" i="7" s="1"/>
  <c r="A10" i="4"/>
  <c r="J9" i="4"/>
  <c r="K9" i="4" s="1"/>
  <c r="G9" i="4"/>
  <c r="D11" i="7" s="1"/>
  <c r="A9" i="4"/>
  <c r="J8" i="4"/>
  <c r="K8" i="4" s="1"/>
  <c r="G8" i="4"/>
  <c r="D10" i="7" s="1"/>
  <c r="A8" i="4"/>
  <c r="J7" i="4"/>
  <c r="G7" i="4"/>
  <c r="A7" i="4"/>
  <c r="G31" i="3"/>
  <c r="F30" i="3"/>
  <c r="AC8" i="7" s="1"/>
  <c r="AC32" i="7" s="1"/>
  <c r="T30" i="3" s="1"/>
  <c r="E30" i="3"/>
  <c r="J29" i="3"/>
  <c r="F29" i="3"/>
  <c r="AB8" i="7" s="1"/>
  <c r="AB32" i="7" s="1"/>
  <c r="T29" i="3" s="1"/>
  <c r="E29" i="3"/>
  <c r="J28" i="3"/>
  <c r="F28" i="3"/>
  <c r="AA8" i="7" s="1"/>
  <c r="AA32" i="7" s="1"/>
  <c r="T28" i="3" s="1"/>
  <c r="E28" i="3"/>
  <c r="J27" i="3"/>
  <c r="F27" i="3"/>
  <c r="Z8" i="7" s="1"/>
  <c r="Z32" i="7" s="1"/>
  <c r="T27" i="3" s="1"/>
  <c r="E27" i="3"/>
  <c r="J26" i="3"/>
  <c r="F26" i="3"/>
  <c r="Y8" i="7" s="1"/>
  <c r="Y32" i="7" s="1"/>
  <c r="T26" i="3" s="1"/>
  <c r="E26" i="3"/>
  <c r="J25" i="3"/>
  <c r="F25" i="3"/>
  <c r="X8" i="7" s="1"/>
  <c r="X32" i="7" s="1"/>
  <c r="T25" i="3" s="1"/>
  <c r="E25" i="3"/>
  <c r="J24" i="3"/>
  <c r="F24" i="3"/>
  <c r="W8" i="7" s="1"/>
  <c r="W32" i="7" s="1"/>
  <c r="T24" i="3" s="1"/>
  <c r="E24" i="3"/>
  <c r="J23" i="3"/>
  <c r="F23" i="3"/>
  <c r="V8" i="7" s="1"/>
  <c r="V32" i="7" s="1"/>
  <c r="T23" i="3" s="1"/>
  <c r="E23" i="3"/>
  <c r="J22" i="3"/>
  <c r="F22" i="3"/>
  <c r="U8" i="7" s="1"/>
  <c r="U32" i="7" s="1"/>
  <c r="T22" i="3" s="1"/>
  <c r="E22" i="3"/>
  <c r="J21" i="3"/>
  <c r="F21" i="3"/>
  <c r="T8" i="7" s="1"/>
  <c r="T32" i="7" s="1"/>
  <c r="T21" i="3" s="1"/>
  <c r="E21" i="3"/>
  <c r="J20" i="3"/>
  <c r="F20" i="3"/>
  <c r="S8" i="7" s="1"/>
  <c r="S32" i="7" s="1"/>
  <c r="T20" i="3" s="1"/>
  <c r="E20" i="3"/>
  <c r="J19" i="3"/>
  <c r="F19" i="3"/>
  <c r="R8" i="7" s="1"/>
  <c r="R32" i="7" s="1"/>
  <c r="T19" i="3" s="1"/>
  <c r="E19" i="3"/>
  <c r="J18" i="3"/>
  <c r="F18" i="3"/>
  <c r="Q8" i="7" s="1"/>
  <c r="Q32" i="7" s="1"/>
  <c r="T18" i="3" s="1"/>
  <c r="E18" i="3"/>
  <c r="J17" i="3"/>
  <c r="F17" i="3"/>
  <c r="P8" i="7" s="1"/>
  <c r="P32" i="7" s="1"/>
  <c r="T17" i="3" s="1"/>
  <c r="E17" i="3"/>
  <c r="J16" i="3"/>
  <c r="F16" i="3"/>
  <c r="O8" i="7" s="1"/>
  <c r="O32" i="7" s="1"/>
  <c r="T16" i="3" s="1"/>
  <c r="E16" i="3"/>
  <c r="J15" i="3"/>
  <c r="F15" i="3"/>
  <c r="N8" i="7" s="1"/>
  <c r="N32" i="7" s="1"/>
  <c r="T15" i="3" s="1"/>
  <c r="E15" i="3"/>
  <c r="J14" i="3"/>
  <c r="F14" i="3"/>
  <c r="M8" i="7" s="1"/>
  <c r="M32" i="7" s="1"/>
  <c r="T14" i="3" s="1"/>
  <c r="E14" i="3"/>
  <c r="J13" i="3"/>
  <c r="F13" i="3"/>
  <c r="L8" i="7" s="1"/>
  <c r="L32" i="7" s="1"/>
  <c r="T13" i="3" s="1"/>
  <c r="E13" i="3"/>
  <c r="J12" i="3"/>
  <c r="F12" i="3"/>
  <c r="K8" i="7" s="1"/>
  <c r="K32" i="7" s="1"/>
  <c r="T12" i="3" s="1"/>
  <c r="E12" i="3"/>
  <c r="J11" i="3"/>
  <c r="F11" i="3"/>
  <c r="J8" i="7" s="1"/>
  <c r="J32" i="7" s="1"/>
  <c r="T11" i="3" s="1"/>
  <c r="E11" i="3"/>
  <c r="J10" i="3"/>
  <c r="F10" i="3"/>
  <c r="I8" i="7" s="1"/>
  <c r="I32" i="7" s="1"/>
  <c r="T10" i="3" s="1"/>
  <c r="E10" i="3"/>
  <c r="J9" i="3"/>
  <c r="F9" i="3"/>
  <c r="H8" i="7" s="1"/>
  <c r="H32" i="7" s="1"/>
  <c r="T9" i="3" s="1"/>
  <c r="E9" i="3"/>
  <c r="J8" i="3"/>
  <c r="F8" i="3"/>
  <c r="G8" i="7" s="1"/>
  <c r="G32" i="7" s="1"/>
  <c r="T8" i="3" s="1"/>
  <c r="E8" i="3"/>
  <c r="J7" i="3"/>
  <c r="F7" i="3"/>
  <c r="F8" i="7" s="1"/>
  <c r="F32" i="7" s="1"/>
  <c r="T7" i="3" s="1"/>
  <c r="E7" i="3"/>
  <c r="C18" i="2"/>
  <c r="C11" i="2"/>
  <c r="C9" i="2"/>
  <c r="C10" i="2" s="1"/>
  <c r="B29" i="1"/>
  <c r="D19" i="1"/>
  <c r="C6" i="1"/>
  <c r="A2" i="1"/>
  <c r="A13" i="7" l="1"/>
  <c r="A12" i="6"/>
  <c r="F9" i="6"/>
  <c r="D9" i="6"/>
  <c r="E9" i="6" s="1"/>
  <c r="D11" i="8"/>
  <c r="F16" i="8"/>
  <c r="E16" i="8"/>
  <c r="D16" i="8"/>
  <c r="G16" i="8" s="1"/>
  <c r="F15" i="8"/>
  <c r="E15" i="8"/>
  <c r="D15" i="8"/>
  <c r="G15" i="8" s="1"/>
  <c r="F14" i="8"/>
  <c r="E14" i="8"/>
  <c r="D14" i="8"/>
  <c r="F13" i="8"/>
  <c r="E13" i="8"/>
  <c r="D13" i="8"/>
  <c r="G13" i="8" s="1"/>
  <c r="F12" i="8"/>
  <c r="E12" i="8"/>
  <c r="D12" i="8"/>
  <c r="G12" i="8" s="1"/>
  <c r="F11" i="8"/>
  <c r="E11" i="8"/>
  <c r="D5" i="8"/>
  <c r="F10" i="8"/>
  <c r="E10" i="8"/>
  <c r="D10" i="8"/>
  <c r="G10" i="8" s="1"/>
  <c r="F9" i="8"/>
  <c r="E9" i="8"/>
  <c r="D9" i="8"/>
  <c r="F8" i="8"/>
  <c r="E8" i="8"/>
  <c r="D8" i="8"/>
  <c r="G8" i="8" s="1"/>
  <c r="F7" i="8"/>
  <c r="E7" i="8"/>
  <c r="D7" i="8"/>
  <c r="G7" i="8" s="1"/>
  <c r="F6" i="8"/>
  <c r="E6" i="8"/>
  <c r="D6" i="8"/>
  <c r="G6" i="8" s="1"/>
  <c r="F5" i="8"/>
  <c r="F17" i="8" s="1"/>
  <c r="E5" i="8"/>
  <c r="E17" i="8" s="1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F45" i="8"/>
  <c r="D45" i="8"/>
  <c r="B45" i="8"/>
  <c r="F44" i="8"/>
  <c r="D44" i="8"/>
  <c r="B44" i="8"/>
  <c r="D43" i="8"/>
  <c r="B43" i="8"/>
  <c r="F42" i="8"/>
  <c r="D42" i="8"/>
  <c r="B42" i="8"/>
  <c r="F41" i="8"/>
  <c r="D41" i="8"/>
  <c r="B41" i="8"/>
  <c r="F40" i="8"/>
  <c r="D40" i="8"/>
  <c r="B40" i="8"/>
  <c r="F39" i="8"/>
  <c r="D39" i="8"/>
  <c r="B39" i="8"/>
  <c r="F38" i="8"/>
  <c r="D38" i="8"/>
  <c r="B38" i="8"/>
  <c r="F37" i="8"/>
  <c r="D37" i="8"/>
  <c r="B37" i="8"/>
  <c r="F36" i="8"/>
  <c r="D36" i="8"/>
  <c r="B36" i="8"/>
  <c r="F35" i="8"/>
  <c r="D35" i="8"/>
  <c r="B35" i="8"/>
  <c r="F34" i="8"/>
  <c r="D34" i="8"/>
  <c r="B34" i="8"/>
  <c r="F33" i="8"/>
  <c r="D33" i="8"/>
  <c r="B33" i="8"/>
  <c r="F32" i="8"/>
  <c r="D32" i="8"/>
  <c r="B32" i="8"/>
  <c r="F31" i="8"/>
  <c r="D31" i="8"/>
  <c r="B31" i="8"/>
  <c r="F30" i="8"/>
  <c r="D30" i="8"/>
  <c r="B30" i="8"/>
  <c r="F29" i="8"/>
  <c r="D29" i="8"/>
  <c r="B29" i="8"/>
  <c r="F28" i="8"/>
  <c r="D28" i="8"/>
  <c r="B28" i="8"/>
  <c r="F27" i="8"/>
  <c r="D27" i="8"/>
  <c r="B27" i="8"/>
  <c r="F26" i="8"/>
  <c r="D26" i="8"/>
  <c r="B26" i="8"/>
  <c r="F25" i="8"/>
  <c r="D25" i="8"/>
  <c r="B25" i="8"/>
  <c r="F24" i="8"/>
  <c r="D24" i="8"/>
  <c r="B24" i="8"/>
  <c r="F23" i="8"/>
  <c r="D23" i="8"/>
  <c r="B23" i="8"/>
  <c r="D22" i="8"/>
  <c r="B22" i="8"/>
  <c r="Z30" i="7"/>
  <c r="AA30" i="7"/>
  <c r="AC30" i="7"/>
  <c r="G30" i="7"/>
  <c r="Y30" i="7"/>
  <c r="W30" i="7"/>
  <c r="U30" i="7"/>
  <c r="I30" i="7"/>
  <c r="F30" i="7"/>
  <c r="T30" i="7"/>
  <c r="V30" i="7"/>
  <c r="AB30" i="7"/>
  <c r="S30" i="7"/>
  <c r="X30" i="7"/>
  <c r="H30" i="7"/>
  <c r="J30" i="7"/>
  <c r="K30" i="7"/>
  <c r="L30" i="7"/>
  <c r="M30" i="7"/>
  <c r="N30" i="7"/>
  <c r="O30" i="7"/>
  <c r="P30" i="7"/>
  <c r="Q30" i="7"/>
  <c r="R30" i="7"/>
  <c r="N29" i="7"/>
  <c r="P29" i="7"/>
  <c r="R29" i="7"/>
  <c r="U29" i="7"/>
  <c r="W29" i="7"/>
  <c r="Y29" i="7"/>
  <c r="AA29" i="7"/>
  <c r="T29" i="7"/>
  <c r="S29" i="7"/>
  <c r="F29" i="7"/>
  <c r="J29" i="7"/>
  <c r="M29" i="7"/>
  <c r="Q29" i="7"/>
  <c r="L29" i="7"/>
  <c r="I29" i="7"/>
  <c r="G29" i="7"/>
  <c r="O29" i="7"/>
  <c r="AC29" i="7"/>
  <c r="AB29" i="7"/>
  <c r="X29" i="7"/>
  <c r="V29" i="7"/>
  <c r="Z29" i="7"/>
  <c r="H29" i="7"/>
  <c r="K29" i="7"/>
  <c r="G28" i="7"/>
  <c r="I28" i="7"/>
  <c r="N28" i="7"/>
  <c r="Q28" i="7"/>
  <c r="S28" i="7"/>
  <c r="W28" i="7"/>
  <c r="AB28" i="7"/>
  <c r="R28" i="7"/>
  <c r="U28" i="7"/>
  <c r="X28" i="7"/>
  <c r="Z28" i="7"/>
  <c r="AA28" i="7"/>
  <c r="AC28" i="7"/>
  <c r="H28" i="7"/>
  <c r="J28" i="7"/>
  <c r="M28" i="7"/>
  <c r="P28" i="7"/>
  <c r="T28" i="7"/>
  <c r="V28" i="7"/>
  <c r="L28" i="7"/>
  <c r="O28" i="7"/>
  <c r="K28" i="7"/>
  <c r="Y28" i="7"/>
  <c r="F28" i="7"/>
  <c r="AC27" i="7"/>
  <c r="Z27" i="7"/>
  <c r="V27" i="7"/>
  <c r="S27" i="7"/>
  <c r="Q27" i="7"/>
  <c r="N27" i="7"/>
  <c r="K27" i="7"/>
  <c r="H27" i="7"/>
  <c r="W27" i="7"/>
  <c r="T27" i="7"/>
  <c r="P27" i="7"/>
  <c r="L27" i="7"/>
  <c r="G27" i="7"/>
  <c r="AB27" i="7"/>
  <c r="Y27" i="7"/>
  <c r="X27" i="7"/>
  <c r="U27" i="7"/>
  <c r="R27" i="7"/>
  <c r="O27" i="7"/>
  <c r="J27" i="7"/>
  <c r="F27" i="7"/>
  <c r="M27" i="7"/>
  <c r="I27" i="7"/>
  <c r="AA27" i="7"/>
  <c r="AC25" i="7"/>
  <c r="AB25" i="7"/>
  <c r="AA25" i="7"/>
  <c r="Z25" i="7"/>
  <c r="Y25" i="7"/>
  <c r="X25" i="7"/>
  <c r="W25" i="7"/>
  <c r="V25" i="7"/>
  <c r="U25" i="7"/>
  <c r="T25" i="7"/>
  <c r="S25" i="7"/>
  <c r="R25" i="7"/>
  <c r="Q25" i="7"/>
  <c r="P25" i="7"/>
  <c r="O25" i="7"/>
  <c r="N25" i="7"/>
  <c r="M25" i="7"/>
  <c r="L25" i="7"/>
  <c r="K25" i="7"/>
  <c r="J25" i="7"/>
  <c r="I25" i="7"/>
  <c r="H25" i="7"/>
  <c r="G25" i="7"/>
  <c r="F25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AC23" i="7"/>
  <c r="AB23" i="7"/>
  <c r="AA23" i="7"/>
  <c r="Z23" i="7"/>
  <c r="Y23" i="7"/>
  <c r="X23" i="7"/>
  <c r="W23" i="7"/>
  <c r="V23" i="7"/>
  <c r="U23" i="7"/>
  <c r="T23" i="7"/>
  <c r="S23" i="7"/>
  <c r="R23" i="7"/>
  <c r="Q23" i="7"/>
  <c r="P23" i="7"/>
  <c r="O23" i="7"/>
  <c r="N23" i="7"/>
  <c r="M23" i="7"/>
  <c r="L23" i="7"/>
  <c r="K23" i="7"/>
  <c r="J23" i="7"/>
  <c r="F23" i="7"/>
  <c r="I23" i="7"/>
  <c r="H23" i="7"/>
  <c r="G23" i="7"/>
  <c r="Y22" i="7"/>
  <c r="X22" i="7"/>
  <c r="W22" i="7"/>
  <c r="V22" i="7"/>
  <c r="U22" i="7"/>
  <c r="T22" i="7"/>
  <c r="S22" i="7"/>
  <c r="R22" i="7"/>
  <c r="Q22" i="7"/>
  <c r="P22" i="7"/>
  <c r="O22" i="7"/>
  <c r="Z22" i="7"/>
  <c r="M22" i="7"/>
  <c r="L22" i="7"/>
  <c r="K22" i="7"/>
  <c r="I22" i="7"/>
  <c r="H22" i="7"/>
  <c r="G22" i="7"/>
  <c r="F22" i="7"/>
  <c r="J22" i="7"/>
  <c r="AB22" i="7"/>
  <c r="AA22" i="7"/>
  <c r="AC22" i="7"/>
  <c r="N22" i="7"/>
  <c r="K21" i="7"/>
  <c r="AB21" i="7"/>
  <c r="F21" i="7"/>
  <c r="G21" i="7"/>
  <c r="H21" i="7"/>
  <c r="I21" i="7"/>
  <c r="J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C21" i="7"/>
  <c r="S20" i="7"/>
  <c r="AB20" i="7"/>
  <c r="AC20" i="7"/>
  <c r="L20" i="7"/>
  <c r="M20" i="7"/>
  <c r="N20" i="7"/>
  <c r="O20" i="7"/>
  <c r="P20" i="7"/>
  <c r="Q20" i="7"/>
  <c r="F20" i="7"/>
  <c r="G20" i="7"/>
  <c r="H20" i="7"/>
  <c r="I20" i="7"/>
  <c r="J20" i="7"/>
  <c r="T20" i="7"/>
  <c r="U20" i="7"/>
  <c r="K20" i="7"/>
  <c r="R20" i="7"/>
  <c r="AA20" i="7"/>
  <c r="V20" i="7"/>
  <c r="W20" i="7"/>
  <c r="X20" i="7"/>
  <c r="Y20" i="7"/>
  <c r="Z20" i="7"/>
  <c r="Z19" i="7"/>
  <c r="Y19" i="7"/>
  <c r="X19" i="7"/>
  <c r="W19" i="7"/>
  <c r="V19" i="7"/>
  <c r="U19" i="7"/>
  <c r="S19" i="7"/>
  <c r="R19" i="7"/>
  <c r="Q19" i="7"/>
  <c r="P19" i="7"/>
  <c r="O19" i="7"/>
  <c r="N19" i="7"/>
  <c r="M19" i="7"/>
  <c r="L19" i="7"/>
  <c r="K19" i="7"/>
  <c r="J19" i="7"/>
  <c r="I19" i="7"/>
  <c r="G19" i="7"/>
  <c r="F19" i="7"/>
  <c r="H19" i="7"/>
  <c r="AA19" i="7"/>
  <c r="AB19" i="7"/>
  <c r="T19" i="7"/>
  <c r="AC19" i="7"/>
  <c r="AC18" i="7"/>
  <c r="AB18" i="7"/>
  <c r="AA18" i="7"/>
  <c r="R18" i="7"/>
  <c r="S18" i="7"/>
  <c r="T18" i="7"/>
  <c r="U18" i="7"/>
  <c r="V18" i="7"/>
  <c r="W18" i="7"/>
  <c r="X18" i="7"/>
  <c r="Y18" i="7"/>
  <c r="Z18" i="7"/>
  <c r="P18" i="7"/>
  <c r="F18" i="7"/>
  <c r="G18" i="7"/>
  <c r="H18" i="7"/>
  <c r="I18" i="7"/>
  <c r="J18" i="7"/>
  <c r="K18" i="7"/>
  <c r="L18" i="7"/>
  <c r="M18" i="7"/>
  <c r="N18" i="7"/>
  <c r="O18" i="7"/>
  <c r="Q18" i="7"/>
  <c r="T17" i="7"/>
  <c r="V17" i="7"/>
  <c r="K17" i="7"/>
  <c r="J17" i="7"/>
  <c r="I17" i="7"/>
  <c r="H17" i="7"/>
  <c r="F17" i="7"/>
  <c r="G17" i="7"/>
  <c r="O17" i="7"/>
  <c r="Q17" i="7"/>
  <c r="R17" i="7"/>
  <c r="S17" i="7"/>
  <c r="W17" i="7"/>
  <c r="U17" i="7"/>
  <c r="X17" i="7"/>
  <c r="Z17" i="7"/>
  <c r="AA17" i="7"/>
  <c r="Y17" i="7"/>
  <c r="L17" i="7"/>
  <c r="P17" i="7"/>
  <c r="AB17" i="7"/>
  <c r="AC17" i="7"/>
  <c r="N17" i="7"/>
  <c r="M17" i="7"/>
  <c r="U16" i="7"/>
  <c r="T16" i="7"/>
  <c r="S16" i="7"/>
  <c r="R16" i="7"/>
  <c r="Q16" i="7"/>
  <c r="O16" i="7"/>
  <c r="N16" i="7"/>
  <c r="P16" i="7"/>
  <c r="F16" i="7"/>
  <c r="G16" i="7"/>
  <c r="I16" i="7"/>
  <c r="AC16" i="7"/>
  <c r="Y16" i="7"/>
  <c r="X16" i="7"/>
  <c r="W16" i="7"/>
  <c r="H16" i="7"/>
  <c r="AB16" i="7"/>
  <c r="V16" i="7"/>
  <c r="AA16" i="7"/>
  <c r="J16" i="7"/>
  <c r="K16" i="7"/>
  <c r="L16" i="7"/>
  <c r="M16" i="7"/>
  <c r="Z16" i="7"/>
  <c r="V15" i="7"/>
  <c r="U15" i="7"/>
  <c r="T15" i="7"/>
  <c r="S15" i="7"/>
  <c r="R15" i="7"/>
  <c r="Q15" i="7"/>
  <c r="P15" i="7"/>
  <c r="O15" i="7"/>
  <c r="N15" i="7"/>
  <c r="M15" i="7"/>
  <c r="L15" i="7"/>
  <c r="K15" i="7"/>
  <c r="J15" i="7"/>
  <c r="I15" i="7"/>
  <c r="H15" i="7"/>
  <c r="G15" i="7"/>
  <c r="F15" i="7"/>
  <c r="AC15" i="7"/>
  <c r="AB15" i="7"/>
  <c r="AA15" i="7"/>
  <c r="Z15" i="7"/>
  <c r="Y15" i="7"/>
  <c r="X15" i="7"/>
  <c r="W15" i="7"/>
  <c r="T14" i="7"/>
  <c r="AA14" i="7"/>
  <c r="AB14" i="7"/>
  <c r="U14" i="7"/>
  <c r="G14" i="7"/>
  <c r="Z14" i="7"/>
  <c r="N14" i="7"/>
  <c r="Y14" i="7"/>
  <c r="X14" i="7"/>
  <c r="W14" i="7"/>
  <c r="V14" i="7"/>
  <c r="S14" i="7"/>
  <c r="R14" i="7"/>
  <c r="Q14" i="7"/>
  <c r="P14" i="7"/>
  <c r="O14" i="7"/>
  <c r="M14" i="7"/>
  <c r="L14" i="7"/>
  <c r="K14" i="7"/>
  <c r="J14" i="7"/>
  <c r="I14" i="7"/>
  <c r="H14" i="7"/>
  <c r="AC14" i="7"/>
  <c r="F14" i="7"/>
  <c r="H13" i="7"/>
  <c r="F13" i="7"/>
  <c r="G13" i="7"/>
  <c r="I13" i="7"/>
  <c r="J13" i="7"/>
  <c r="K13" i="7"/>
  <c r="S13" i="7"/>
  <c r="L13" i="7"/>
  <c r="M13" i="7"/>
  <c r="T13" i="7"/>
  <c r="N13" i="7"/>
  <c r="O13" i="7"/>
  <c r="P13" i="7"/>
  <c r="Q13" i="7"/>
  <c r="R13" i="7"/>
  <c r="AC13" i="7"/>
  <c r="AB13" i="7"/>
  <c r="AA13" i="7"/>
  <c r="Z13" i="7"/>
  <c r="Y13" i="7"/>
  <c r="X13" i="7"/>
  <c r="W13" i="7"/>
  <c r="V13" i="7"/>
  <c r="U13" i="7"/>
  <c r="W11" i="7"/>
  <c r="V11" i="7"/>
  <c r="U11" i="7"/>
  <c r="T11" i="7"/>
  <c r="S11" i="7"/>
  <c r="R11" i="7"/>
  <c r="Q11" i="7"/>
  <c r="P11" i="7"/>
  <c r="O11" i="7"/>
  <c r="N11" i="7"/>
  <c r="M11" i="7"/>
  <c r="L11" i="7"/>
  <c r="K11" i="7"/>
  <c r="J11" i="7"/>
  <c r="I11" i="7"/>
  <c r="H11" i="7"/>
  <c r="G11" i="7"/>
  <c r="F11" i="7"/>
  <c r="AC11" i="7"/>
  <c r="AB11" i="7"/>
  <c r="AA11" i="7"/>
  <c r="Z11" i="7"/>
  <c r="Y11" i="7"/>
  <c r="X11" i="7"/>
  <c r="R10" i="7"/>
  <c r="Q10" i="7"/>
  <c r="P10" i="7"/>
  <c r="O10" i="7"/>
  <c r="M10" i="7"/>
  <c r="L10" i="7"/>
  <c r="K10" i="7"/>
  <c r="J10" i="7"/>
  <c r="I10" i="7"/>
  <c r="H10" i="7"/>
  <c r="G10" i="7"/>
  <c r="F10" i="7"/>
  <c r="N10" i="7"/>
  <c r="AC10" i="7"/>
  <c r="AB10" i="7"/>
  <c r="AA10" i="7"/>
  <c r="Z10" i="7"/>
  <c r="Y10" i="7"/>
  <c r="X10" i="7"/>
  <c r="W10" i="7"/>
  <c r="V10" i="7"/>
  <c r="U10" i="7"/>
  <c r="T10" i="7"/>
  <c r="S10" i="7"/>
  <c r="N9" i="7"/>
  <c r="M9" i="7"/>
  <c r="L9" i="7"/>
  <c r="K9" i="7"/>
  <c r="J9" i="7"/>
  <c r="I9" i="7"/>
  <c r="H9" i="7"/>
  <c r="F9" i="7"/>
  <c r="AC9" i="7"/>
  <c r="G9" i="7"/>
  <c r="AB9" i="7"/>
  <c r="O9" i="7"/>
  <c r="AA9" i="7"/>
  <c r="Z9" i="7"/>
  <c r="Y9" i="7"/>
  <c r="P9" i="7"/>
  <c r="W9" i="7"/>
  <c r="V9" i="7"/>
  <c r="T9" i="7"/>
  <c r="S9" i="7"/>
  <c r="R9" i="7"/>
  <c r="Q9" i="7"/>
  <c r="U9" i="7"/>
  <c r="X9" i="7"/>
  <c r="I29" i="6"/>
  <c r="H29" i="6"/>
  <c r="G29" i="6"/>
  <c r="F29" i="6"/>
  <c r="E29" i="6"/>
  <c r="D29" i="6"/>
  <c r="I28" i="6"/>
  <c r="H28" i="6"/>
  <c r="D28" i="6"/>
  <c r="F28" i="6"/>
  <c r="E28" i="6"/>
  <c r="G28" i="6"/>
  <c r="I27" i="6"/>
  <c r="F27" i="6"/>
  <c r="E27" i="6"/>
  <c r="D27" i="6"/>
  <c r="G27" i="6"/>
  <c r="H27" i="6"/>
  <c r="E26" i="6"/>
  <c r="D26" i="6"/>
  <c r="I26" i="6"/>
  <c r="H26" i="6"/>
  <c r="G26" i="6"/>
  <c r="F26" i="6"/>
  <c r="J26" i="6" s="1"/>
  <c r="D25" i="6"/>
  <c r="E25" i="6"/>
  <c r="F25" i="6"/>
  <c r="J25" i="6" s="1"/>
  <c r="G25" i="6"/>
  <c r="H25" i="6"/>
  <c r="I25" i="6"/>
  <c r="E24" i="6"/>
  <c r="D24" i="6"/>
  <c r="I24" i="6"/>
  <c r="F24" i="6"/>
  <c r="J24" i="6" s="1"/>
  <c r="G24" i="6"/>
  <c r="H24" i="6"/>
  <c r="I23" i="6"/>
  <c r="H23" i="6"/>
  <c r="F23" i="6"/>
  <c r="E23" i="6"/>
  <c r="D23" i="6"/>
  <c r="J23" i="6" s="1"/>
  <c r="G23" i="6"/>
  <c r="I22" i="6"/>
  <c r="D22" i="6"/>
  <c r="E22" i="6"/>
  <c r="F22" i="6"/>
  <c r="G22" i="6"/>
  <c r="H22" i="6"/>
  <c r="D21" i="6"/>
  <c r="F21" i="6"/>
  <c r="J21" i="6" s="1"/>
  <c r="G21" i="6"/>
  <c r="H21" i="6"/>
  <c r="I21" i="6"/>
  <c r="E21" i="6"/>
  <c r="I20" i="6"/>
  <c r="H20" i="6"/>
  <c r="G20" i="6"/>
  <c r="E20" i="6"/>
  <c r="D20" i="6"/>
  <c r="F20" i="6"/>
  <c r="E19" i="6"/>
  <c r="D19" i="6"/>
  <c r="I19" i="6"/>
  <c r="H19" i="6"/>
  <c r="G19" i="6"/>
  <c r="F19" i="6"/>
  <c r="J19" i="6" s="1"/>
  <c r="D18" i="6"/>
  <c r="E18" i="6"/>
  <c r="F18" i="6"/>
  <c r="I18" i="6"/>
  <c r="G18" i="6"/>
  <c r="H18" i="6"/>
  <c r="J18" i="6"/>
  <c r="D17" i="6"/>
  <c r="E17" i="6"/>
  <c r="F17" i="6"/>
  <c r="G17" i="6"/>
  <c r="H17" i="6"/>
  <c r="I17" i="6"/>
  <c r="I16" i="6"/>
  <c r="H16" i="6"/>
  <c r="G16" i="6"/>
  <c r="F16" i="6"/>
  <c r="D16" i="6"/>
  <c r="J16" i="6" s="1"/>
  <c r="E16" i="6"/>
  <c r="I15" i="6"/>
  <c r="H15" i="6"/>
  <c r="G15" i="6"/>
  <c r="F15" i="6"/>
  <c r="E15" i="6"/>
  <c r="D15" i="6"/>
  <c r="J15" i="6" s="1"/>
  <c r="I14" i="6"/>
  <c r="H14" i="6"/>
  <c r="G14" i="6"/>
  <c r="F14" i="6"/>
  <c r="E14" i="6"/>
  <c r="D14" i="6"/>
  <c r="J14" i="6" s="1"/>
  <c r="I13" i="6"/>
  <c r="H13" i="6"/>
  <c r="G13" i="6"/>
  <c r="F13" i="6"/>
  <c r="E13" i="6"/>
  <c r="D13" i="6"/>
  <c r="J13" i="6" s="1"/>
  <c r="F12" i="6"/>
  <c r="D12" i="6"/>
  <c r="D11" i="6"/>
  <c r="F11" i="6"/>
  <c r="D10" i="6"/>
  <c r="E10" i="6" s="1"/>
  <c r="F10" i="6"/>
  <c r="D8" i="6"/>
  <c r="J30" i="3"/>
  <c r="J31" i="3" s="1"/>
  <c r="A12" i="7"/>
  <c r="A11" i="6"/>
  <c r="A10" i="6"/>
  <c r="A11" i="7"/>
  <c r="A10" i="7"/>
  <c r="J30" i="4"/>
  <c r="E35" i="4" s="1"/>
  <c r="K7" i="4"/>
  <c r="K30" i="4" s="1"/>
  <c r="E36" i="4" s="1"/>
  <c r="E34" i="4"/>
  <c r="E33" i="4"/>
  <c r="D9" i="7"/>
  <c r="A8" i="6"/>
  <c r="A9" i="7"/>
  <c r="J22" i="8"/>
  <c r="C45" i="1"/>
  <c r="B31" i="1"/>
  <c r="T31" i="3"/>
  <c r="C4" i="1"/>
  <c r="C5" i="1"/>
  <c r="C3" i="6"/>
  <c r="C4" i="6"/>
  <c r="C5" i="6"/>
  <c r="C11" i="1"/>
  <c r="B30" i="1"/>
  <c r="G12" i="6" l="1"/>
  <c r="H12" i="6"/>
  <c r="E12" i="6"/>
  <c r="J29" i="6"/>
  <c r="G9" i="8"/>
  <c r="J20" i="6"/>
  <c r="J17" i="6"/>
  <c r="I9" i="6"/>
  <c r="J9" i="6"/>
  <c r="H9" i="6"/>
  <c r="G9" i="6"/>
  <c r="J27" i="6"/>
  <c r="G14" i="8"/>
  <c r="G11" i="8"/>
  <c r="D17" i="8"/>
  <c r="G5" i="8"/>
  <c r="G17" i="8" s="1"/>
  <c r="J28" i="6"/>
  <c r="J22" i="6"/>
  <c r="E11" i="6"/>
  <c r="E8" i="6"/>
  <c r="D30" i="6"/>
  <c r="D33" i="6"/>
  <c r="J23" i="8"/>
  <c r="J24" i="8"/>
  <c r="B32" i="1"/>
  <c r="L8" i="3"/>
  <c r="H9" i="3"/>
  <c r="I9" i="3" s="1"/>
  <c r="L9" i="3"/>
  <c r="M11" i="3"/>
  <c r="K12" i="3"/>
  <c r="L14" i="3"/>
  <c r="H15" i="3"/>
  <c r="I15" i="3" s="1"/>
  <c r="K17" i="3"/>
  <c r="H18" i="3"/>
  <c r="I18" i="3" s="1"/>
  <c r="K18" i="3"/>
  <c r="M18" i="3"/>
  <c r="H19" i="3"/>
  <c r="I19" i="3" s="1"/>
  <c r="K19" i="3"/>
  <c r="M19" i="3"/>
  <c r="H20" i="3"/>
  <c r="I20" i="3" s="1"/>
  <c r="K20" i="3"/>
  <c r="M20" i="3"/>
  <c r="H21" i="3"/>
  <c r="I21" i="3" s="1"/>
  <c r="K21" i="3"/>
  <c r="M21" i="3"/>
  <c r="H22" i="3"/>
  <c r="I22" i="3" s="1"/>
  <c r="K22" i="3"/>
  <c r="M22" i="3"/>
  <c r="C15" i="1" s="1"/>
  <c r="B33" i="1" s="1"/>
  <c r="L24" i="3"/>
  <c r="H25" i="3"/>
  <c r="I25" i="3" s="1"/>
  <c r="K25" i="3"/>
  <c r="L25" i="3"/>
  <c r="L27" i="3"/>
  <c r="K29" i="3"/>
  <c r="L29" i="3"/>
  <c r="M29" i="3"/>
  <c r="M9" i="3"/>
  <c r="K10" i="3"/>
  <c r="L10" i="3"/>
  <c r="H11" i="3"/>
  <c r="I11" i="3" s="1"/>
  <c r="K11" i="3"/>
  <c r="L11" i="3"/>
  <c r="H12" i="3"/>
  <c r="I12" i="3" s="1"/>
  <c r="L12" i="3"/>
  <c r="H13" i="3"/>
  <c r="I13" i="3" s="1"/>
  <c r="L13" i="3"/>
  <c r="M16" i="3"/>
  <c r="H17" i="3"/>
  <c r="I17" i="3" s="1"/>
  <c r="L17" i="3"/>
  <c r="H7" i="3"/>
  <c r="K7" i="3"/>
  <c r="M7" i="3"/>
  <c r="M10" i="3"/>
  <c r="M13" i="3"/>
  <c r="H14" i="3"/>
  <c r="I14" i="3" s="1"/>
  <c r="K14" i="3"/>
  <c r="M14" i="3"/>
  <c r="K15" i="3"/>
  <c r="M15" i="3"/>
  <c r="K16" i="3"/>
  <c r="L16" i="3"/>
  <c r="M17" i="3"/>
  <c r="L19" i="3"/>
  <c r="L21" i="3"/>
  <c r="L23" i="3"/>
  <c r="H24" i="3"/>
  <c r="I24" i="3" s="1"/>
  <c r="K24" i="3"/>
  <c r="M24" i="3"/>
  <c r="L26" i="3"/>
  <c r="M26" i="3"/>
  <c r="H27" i="3"/>
  <c r="I27" i="3" s="1"/>
  <c r="K27" i="3"/>
  <c r="M27" i="3"/>
  <c r="H28" i="3"/>
  <c r="I28" i="3" s="1"/>
  <c r="K28" i="3"/>
  <c r="M28" i="3"/>
  <c r="H30" i="3"/>
  <c r="I30" i="3" s="1"/>
  <c r="K30" i="3"/>
  <c r="L30" i="3"/>
  <c r="M30" i="3"/>
  <c r="L7" i="3"/>
  <c r="H8" i="3"/>
  <c r="I8" i="3" s="1"/>
  <c r="K8" i="3"/>
  <c r="M8" i="3"/>
  <c r="K9" i="3"/>
  <c r="H10" i="3"/>
  <c r="I10" i="3" s="1"/>
  <c r="M12" i="3"/>
  <c r="K13" i="3"/>
  <c r="L15" i="3"/>
  <c r="H16" i="3"/>
  <c r="I16" i="3" s="1"/>
  <c r="L18" i="3"/>
  <c r="L20" i="3"/>
  <c r="L22" i="3"/>
  <c r="C14" i="1" s="1"/>
  <c r="H23" i="3"/>
  <c r="I23" i="3" s="1"/>
  <c r="M23" i="3"/>
  <c r="M25" i="3"/>
  <c r="H26" i="3"/>
  <c r="I26" i="3" s="1"/>
  <c r="K26" i="3"/>
  <c r="L28" i="3"/>
  <c r="H29" i="3"/>
  <c r="I29" i="3" s="1"/>
  <c r="D46" i="8"/>
  <c r="B46" i="8"/>
  <c r="H11" i="6"/>
  <c r="G11" i="6"/>
  <c r="H10" i="6"/>
  <c r="G10" i="6"/>
  <c r="J10" i="6"/>
  <c r="I10" i="6"/>
  <c r="F43" i="8"/>
  <c r="F22" i="8"/>
  <c r="F8" i="6"/>
  <c r="J12" i="6" l="1"/>
  <c r="I12" i="6"/>
  <c r="I8" i="6"/>
  <c r="I11" i="6"/>
  <c r="J11" i="6"/>
  <c r="F46" i="8"/>
  <c r="C43" i="8"/>
  <c r="E43" i="8" s="1"/>
  <c r="C44" i="8"/>
  <c r="E44" i="8" s="1"/>
  <c r="C45" i="8"/>
  <c r="E45" i="8" s="1"/>
  <c r="J25" i="8"/>
  <c r="P9" i="3"/>
  <c r="Q9" i="3" s="1"/>
  <c r="R9" i="3"/>
  <c r="C6" i="8"/>
  <c r="O12" i="3"/>
  <c r="N12" i="3"/>
  <c r="C9" i="8"/>
  <c r="P15" i="3"/>
  <c r="R15" i="3"/>
  <c r="O17" i="3"/>
  <c r="N17" i="3"/>
  <c r="O18" i="3"/>
  <c r="N18" i="3"/>
  <c r="P18" i="3" s="1"/>
  <c r="C11" i="8"/>
  <c r="O19" i="3"/>
  <c r="N19" i="3"/>
  <c r="O20" i="3"/>
  <c r="N20" i="3"/>
  <c r="C12" i="8"/>
  <c r="O21" i="3"/>
  <c r="N21" i="3"/>
  <c r="C10" i="1"/>
  <c r="C12" i="1"/>
  <c r="O22" i="3"/>
  <c r="C13" i="1" s="1"/>
  <c r="N22" i="3"/>
  <c r="C14" i="8"/>
  <c r="O25" i="3"/>
  <c r="N25" i="3"/>
  <c r="O29" i="3"/>
  <c r="N29" i="3"/>
  <c r="O10" i="3"/>
  <c r="N10" i="3"/>
  <c r="C7" i="8"/>
  <c r="O11" i="3"/>
  <c r="N11" i="3"/>
  <c r="C8" i="8"/>
  <c r="C10" i="8"/>
  <c r="H31" i="3"/>
  <c r="I7" i="3"/>
  <c r="O7" i="3"/>
  <c r="N7" i="3"/>
  <c r="K31" i="3"/>
  <c r="C38" i="1"/>
  <c r="M31" i="3"/>
  <c r="C40" i="1"/>
  <c r="O14" i="3"/>
  <c r="N14" i="3"/>
  <c r="O15" i="3"/>
  <c r="N15" i="3"/>
  <c r="O16" i="3"/>
  <c r="N16" i="3"/>
  <c r="O24" i="3"/>
  <c r="N24" i="3"/>
  <c r="C15" i="8"/>
  <c r="O27" i="3"/>
  <c r="N27" i="3"/>
  <c r="O28" i="3"/>
  <c r="N28" i="3"/>
  <c r="O30" i="3"/>
  <c r="N30" i="3"/>
  <c r="C39" i="1"/>
  <c r="L31" i="3"/>
  <c r="O8" i="3"/>
  <c r="N8" i="3"/>
  <c r="O9" i="3"/>
  <c r="N9" i="3"/>
  <c r="O13" i="3"/>
  <c r="N13" i="3"/>
  <c r="C13" i="8"/>
  <c r="O23" i="3"/>
  <c r="N23" i="3"/>
  <c r="O26" i="3"/>
  <c r="N26" i="3"/>
  <c r="C16" i="8"/>
  <c r="G22" i="8"/>
  <c r="G26" i="8"/>
  <c r="G27" i="8"/>
  <c r="G28" i="8"/>
  <c r="G29" i="8"/>
  <c r="G37" i="8"/>
  <c r="G38" i="8"/>
  <c r="G39" i="8"/>
  <c r="G40" i="8"/>
  <c r="G41" i="8"/>
  <c r="G42" i="8"/>
  <c r="G43" i="8"/>
  <c r="G44" i="8"/>
  <c r="G45" i="8"/>
  <c r="G30" i="8"/>
  <c r="G31" i="8"/>
  <c r="G32" i="8"/>
  <c r="G33" i="8"/>
  <c r="G34" i="8"/>
  <c r="G35" i="8"/>
  <c r="G36" i="8"/>
  <c r="G25" i="8"/>
  <c r="G24" i="8"/>
  <c r="G23" i="8"/>
  <c r="G46" i="8"/>
  <c r="D34" i="6"/>
  <c r="D35" i="6" s="1"/>
  <c r="F30" i="6"/>
  <c r="J8" i="6"/>
  <c r="G8" i="6"/>
  <c r="H8" i="6"/>
  <c r="H30" i="6" s="1"/>
  <c r="P13" i="3" l="1"/>
  <c r="R13" i="3"/>
  <c r="S9" i="3"/>
  <c r="C36" i="8"/>
  <c r="E36" i="8" s="1"/>
  <c r="C38" i="8"/>
  <c r="E38" i="8" s="1"/>
  <c r="C16" i="1"/>
  <c r="D16" i="1" s="1"/>
  <c r="P22" i="3"/>
  <c r="R22" i="3"/>
  <c r="C19" i="1" s="1"/>
  <c r="P27" i="3"/>
  <c r="Q27" i="3" s="1"/>
  <c r="R27" i="3"/>
  <c r="D39" i="6"/>
  <c r="D38" i="6"/>
  <c r="Q15" i="3"/>
  <c r="S15" i="3" s="1"/>
  <c r="Q13" i="3"/>
  <c r="S13" i="3" s="1"/>
  <c r="Q18" i="3"/>
  <c r="H6" i="8"/>
  <c r="I6" i="8"/>
  <c r="J6" i="8"/>
  <c r="K6" i="8"/>
  <c r="H9" i="8"/>
  <c r="I9" i="8"/>
  <c r="J9" i="8"/>
  <c r="K9" i="8"/>
  <c r="H11" i="8"/>
  <c r="I11" i="8"/>
  <c r="J11" i="8"/>
  <c r="K11" i="8"/>
  <c r="H12" i="8"/>
  <c r="I12" i="8"/>
  <c r="J12" i="8"/>
  <c r="K12" i="8" s="1"/>
  <c r="B23" i="1"/>
  <c r="D14" i="1"/>
  <c r="D13" i="1"/>
  <c r="D11" i="1"/>
  <c r="D15" i="1"/>
  <c r="D12" i="1"/>
  <c r="H14" i="8"/>
  <c r="I14" i="8"/>
  <c r="J14" i="8"/>
  <c r="K14" i="8" s="1"/>
  <c r="H7" i="8"/>
  <c r="I7" i="8"/>
  <c r="J7" i="8"/>
  <c r="K7" i="8"/>
  <c r="H8" i="8"/>
  <c r="I8" i="8"/>
  <c r="J8" i="8"/>
  <c r="K8" i="8"/>
  <c r="H10" i="8"/>
  <c r="I10" i="8"/>
  <c r="J10" i="8"/>
  <c r="K10" i="8" s="1"/>
  <c r="P7" i="3"/>
  <c r="R7" i="3"/>
  <c r="I31" i="3"/>
  <c r="C5" i="8"/>
  <c r="C37" i="1"/>
  <c r="N31" i="3"/>
  <c r="C41" i="1"/>
  <c r="H15" i="8"/>
  <c r="I15" i="8"/>
  <c r="J15" i="8"/>
  <c r="K15" i="8"/>
  <c r="H13" i="8"/>
  <c r="I13" i="8"/>
  <c r="J13" i="8"/>
  <c r="K13" i="8"/>
  <c r="H16" i="8"/>
  <c r="I16" i="8"/>
  <c r="J16" i="8"/>
  <c r="K16" i="8" s="1"/>
  <c r="O31" i="3"/>
  <c r="C39" i="8"/>
  <c r="E39" i="8" s="1"/>
  <c r="C40" i="8"/>
  <c r="E40" i="8" s="1"/>
  <c r="C41" i="8"/>
  <c r="E41" i="8" s="1"/>
  <c r="C42" i="8"/>
  <c r="E42" i="8" s="1"/>
  <c r="C37" i="8"/>
  <c r="E37" i="8" s="1"/>
  <c r="C24" i="8"/>
  <c r="E24" i="8" s="1"/>
  <c r="C27" i="8"/>
  <c r="E27" i="8" s="1"/>
  <c r="C34" i="8"/>
  <c r="E34" i="8" s="1"/>
  <c r="C22" i="8"/>
  <c r="C33" i="8"/>
  <c r="E33" i="8" s="1"/>
  <c r="C25" i="8"/>
  <c r="E25" i="8" s="1"/>
  <c r="C26" i="8"/>
  <c r="E26" i="8" s="1"/>
  <c r="C23" i="8"/>
  <c r="E23" i="8" s="1"/>
  <c r="C31" i="8"/>
  <c r="E31" i="8" s="1"/>
  <c r="C32" i="8"/>
  <c r="E32" i="8" s="1"/>
  <c r="C30" i="8"/>
  <c r="E30" i="8" s="1"/>
  <c r="C29" i="8"/>
  <c r="E29" i="8" s="1"/>
  <c r="C35" i="8"/>
  <c r="E35" i="8" s="1"/>
  <c r="C28" i="8"/>
  <c r="E28" i="8" s="1"/>
  <c r="P12" i="3"/>
  <c r="Q12" i="3" s="1"/>
  <c r="R12" i="3"/>
  <c r="P17" i="3"/>
  <c r="Q17" i="3" s="1"/>
  <c r="R17" i="3"/>
  <c r="R18" i="3"/>
  <c r="P19" i="3"/>
  <c r="Q19" i="3" s="1"/>
  <c r="R19" i="3"/>
  <c r="S19" i="3"/>
  <c r="P20" i="3"/>
  <c r="Q20" i="3" s="1"/>
  <c r="R20" i="3"/>
  <c r="S20" i="3" s="1"/>
  <c r="R21" i="3"/>
  <c r="P21" i="3"/>
  <c r="Q21" i="3" s="1"/>
  <c r="S21" i="3" s="1"/>
  <c r="P25" i="3"/>
  <c r="Q25" i="3" s="1"/>
  <c r="R25" i="3"/>
  <c r="P29" i="3"/>
  <c r="Q29" i="3" s="1"/>
  <c r="R29" i="3"/>
  <c r="P10" i="3"/>
  <c r="Q10" i="3" s="1"/>
  <c r="R10" i="3"/>
  <c r="P11" i="3"/>
  <c r="Q11" i="3" s="1"/>
  <c r="R11" i="3"/>
  <c r="S11" i="3" s="1"/>
  <c r="P14" i="3"/>
  <c r="Q14" i="3" s="1"/>
  <c r="R14" i="3"/>
  <c r="S14" i="3"/>
  <c r="P16" i="3"/>
  <c r="Q16" i="3" s="1"/>
  <c r="R16" i="3"/>
  <c r="S16" i="3" s="1"/>
  <c r="P24" i="3"/>
  <c r="Q24" i="3" s="1"/>
  <c r="R24" i="3"/>
  <c r="P28" i="3"/>
  <c r="Q28" i="3" s="1"/>
  <c r="R28" i="3"/>
  <c r="P30" i="3"/>
  <c r="Q30" i="3" s="1"/>
  <c r="R30" i="3"/>
  <c r="P8" i="3"/>
  <c r="Q8" i="3" s="1"/>
  <c r="R8" i="3"/>
  <c r="S8" i="3"/>
  <c r="P23" i="3"/>
  <c r="Q23" i="3" s="1"/>
  <c r="R23" i="3"/>
  <c r="S23" i="3"/>
  <c r="P26" i="3"/>
  <c r="Q26" i="3" s="1"/>
  <c r="R26" i="3"/>
  <c r="D36" i="6"/>
  <c r="B27" i="1" s="1"/>
  <c r="D37" i="6"/>
  <c r="B28" i="1" s="1"/>
  <c r="S27" i="3" l="1"/>
  <c r="S18" i="3"/>
  <c r="Q22" i="3"/>
  <c r="C17" i="1"/>
  <c r="D17" i="1" s="1"/>
  <c r="B24" i="1"/>
  <c r="B25" i="1"/>
  <c r="S10" i="3"/>
  <c r="S28" i="3"/>
  <c r="S30" i="3"/>
  <c r="S12" i="3"/>
  <c r="S17" i="3"/>
  <c r="S25" i="3"/>
  <c r="S29" i="3"/>
  <c r="S24" i="3"/>
  <c r="S26" i="3"/>
  <c r="Q7" i="3"/>
  <c r="P31" i="3"/>
  <c r="C17" i="8"/>
  <c r="H5" i="8"/>
  <c r="H17" i="8" s="1"/>
  <c r="I5" i="8"/>
  <c r="J5" i="8"/>
  <c r="K5" i="8" s="1"/>
  <c r="K17" i="8" s="1"/>
  <c r="C42" i="1"/>
  <c r="C43" i="1"/>
  <c r="C46" i="8"/>
  <c r="E22" i="8"/>
  <c r="E46" i="8" s="1"/>
  <c r="R31" i="3"/>
  <c r="S22" i="3" l="1"/>
  <c r="C20" i="1" s="1"/>
  <c r="C18" i="1"/>
  <c r="S7" i="3"/>
  <c r="Q31" i="3"/>
  <c r="I17" i="8"/>
  <c r="J17" i="8"/>
  <c r="B26" i="1" l="1"/>
  <c r="B34" i="1" s="1"/>
  <c r="D18" i="1"/>
  <c r="C44" i="1"/>
  <c r="S31" i="3"/>
</calcChain>
</file>

<file path=xl/sharedStrings.xml><?xml version="1.0" encoding="utf-8"?>
<sst xmlns="http://schemas.openxmlformats.org/spreadsheetml/2006/main" count="395" uniqueCount="272">
  <si>
    <t>PANEL DE CONTROL  ·  PRESUPUESTO QUINCENAL</t>
  </si>
  <si>
    <t>Quincena que estás viendo</t>
  </si>
  <si>
    <t>Días que faltan para cerrar la quincena</t>
  </si>
  <si>
    <t>Último movimiento registrado</t>
  </si>
  <si>
    <t>RESUMEN DE LA QUINCENA</t>
  </si>
  <si>
    <t>Concepto</t>
  </si>
  <si>
    <t>Monto</t>
  </si>
  <si>
    <t>% del
disponible</t>
  </si>
  <si>
    <t>Qué significa</t>
  </si>
  <si>
    <t>Ingreso disponible de la quincena</t>
  </si>
  <si>
    <t>Tu ingreso de la quincena más los ingresos extra que hayas registrado.</t>
  </si>
  <si>
    <t>Gastos fijos presupuestados</t>
  </si>
  <si>
    <t>Lo que te toca pagar de tu lista de fijos en esta quincena.</t>
  </si>
  <si>
    <t>Gastos fijos ya pagados</t>
  </si>
  <si>
    <t>Lo que ya registraste con tipo Fijo.</t>
  </si>
  <si>
    <t>Gastos fijos pendientes</t>
  </si>
  <si>
    <t>Lo que todavía te falta pagar de los fijos. Resérvalo.</t>
  </si>
  <si>
    <t>Gastos variables</t>
  </si>
  <si>
    <t>Comida, transporte del día, antojos, imprevistos.</t>
  </si>
  <si>
    <t>Ahorro apartado</t>
  </si>
  <si>
    <t>Lo que registraste con tipo Ahorro.</t>
  </si>
  <si>
    <t>Total gastado</t>
  </si>
  <si>
    <t>Fijos pagados + variables + ahorro.</t>
  </si>
  <si>
    <t>Disponible restante hoy</t>
  </si>
  <si>
    <t>Disponible menos lo que ya gastaste.</t>
  </si>
  <si>
    <t>Restante proyectado</t>
  </si>
  <si>
    <t>Lo que te quedará después de pagar los fijos pendientes. Este es el número que manda.</t>
  </si>
  <si>
    <t>% del disponible ya ejecutado</t>
  </si>
  <si>
    <t>A la derecha, el umbral que configuraste para que te avise.</t>
  </si>
  <si>
    <t>Estado general de la quincena</t>
  </si>
  <si>
    <t>Se calcula solo comparando lo gastado contra tu disponible.</t>
  </si>
  <si>
    <t>ALERTAS AUTOMÁTICAS</t>
  </si>
  <si>
    <t>RESUMEN DEL AÑO COMPLETO</t>
  </si>
  <si>
    <t>Ingreso total del año</t>
  </si>
  <si>
    <t>Suma de las 24 quincenas.</t>
  </si>
  <si>
    <t>Gastos fijos pagados</t>
  </si>
  <si>
    <t>Ahorro acumulado</t>
  </si>
  <si>
    <t>Lo que has apartado en el año.</t>
  </si>
  <si>
    <t>Saldo del año</t>
  </si>
  <si>
    <t>Ingreso menos todo lo gastado.</t>
  </si>
  <si>
    <t>% de ahorro sobre el ingreso</t>
  </si>
  <si>
    <t>Un 10% ya es una base sana.</t>
  </si>
  <si>
    <t>Quincenas con sobregiro</t>
  </si>
  <si>
    <t>Cuántas veces te pasaste en el año.</t>
  </si>
  <si>
    <t>Fijos que olvidaste registrar</t>
  </si>
  <si>
    <t>De quincenas ya cerradas. Detalle en la hoja Historial.</t>
  </si>
  <si>
    <t>RUTINA SUGERIDA</t>
  </si>
  <si>
    <t>Cada vez que gastes: abre la hoja Registro y anota la fila. Toma treinta segundos y es lo único que sostiene todo lo demás.</t>
  </si>
  <si>
    <t>Cada semana: revisa la hoja Control, confirma qué fijos ya pagaste y cuáles vienen.</t>
  </si>
  <si>
    <t>Al inicio de cada quincena: escribe tu ingreso en la hoja Quincenas, columna G.</t>
  </si>
  <si>
    <t>Al cerrar la quincena: mira el Panel y el Reporte, y ajusta lo que se te fue de las manos.</t>
  </si>
  <si>
    <t>CONFIGURACIÓN GENERAL DEL PRESUPUESTO</t>
  </si>
  <si>
    <t>Las celdas amarillas con texto azul son las únicas que escribes tú. El resto se calcula solo.</t>
  </si>
  <si>
    <t>PARÁMETROS GENERALES</t>
  </si>
  <si>
    <t>Nombre del presupuesto</t>
  </si>
  <si>
    <t>Solo es una referencia, puedes cambiarlo.</t>
  </si>
  <si>
    <t>Año del presupuesto</t>
  </si>
  <si>
    <t>Las fechas de las 24 quincenas se recalculan con este año.</t>
  </si>
  <si>
    <t>Moneda</t>
  </si>
  <si>
    <t>C$ (córdobas)</t>
  </si>
  <si>
    <t>El formato de moneda del archivo está fijado en córdobas.</t>
  </si>
  <si>
    <t>Quincena activa (0 = automática)</t>
  </si>
  <si>
    <t>Deja 0 para que use la quincena de hoy, o escribe del 1 al 24 para revisar otra.</t>
  </si>
  <si>
    <t>Quincena de hoy (calculada)</t>
  </si>
  <si>
    <t>Se deduce de la fecha de hoy contra el calendario de la hoja Quincenas.</t>
  </si>
  <si>
    <t>Quincena que muestran el Panel y Control</t>
  </si>
  <si>
    <t>Esta es la quincena que se está analizando.</t>
  </si>
  <si>
    <t>Fecha de hoy</t>
  </si>
  <si>
    <t>Se actualiza sola cada vez que abres el archivo.</t>
  </si>
  <si>
    <t>Llevo el control desde</t>
  </si>
  <si>
    <t>Las alertas de pagos olvidados solo revisan quincenas posteriores a esta fecha, para que el archivo no te reclame meses que nunca usaste.</t>
  </si>
  <si>
    <t>UMBRALES DE ALERTA</t>
  </si>
  <si>
    <t>Avisar cuando el gasto supere este % del disponible</t>
  </si>
  <si>
    <t>Con 80% el Panel te avisa apenas pasas ese porcentaje de la quincena.</t>
  </si>
  <si>
    <t>Días de anticipación para avisar un pago próximo</t>
  </si>
  <si>
    <t>Un fijo que vence dentro de estos días aparece como Por vencer.</t>
  </si>
  <si>
    <t>Días sin registrar gastos antes de avisar</t>
  </si>
  <si>
    <t>Si pasas más días sin anotar nada, el Panel asume que se te olvidó algo.</t>
  </si>
  <si>
    <t>Meta de ahorro por quincena (opcional)</t>
  </si>
  <si>
    <t>Deja 0 si no quieres meta. Tu ahorro es lo que sobra, esto solo lo mide.</t>
  </si>
  <si>
    <t>Meta de ahorro del año (24 quincenas)</t>
  </si>
  <si>
    <t>Calculado a partir de la meta quincenal.</t>
  </si>
  <si>
    <t>LEYENDA DE COLORES</t>
  </si>
  <si>
    <t>Celda amarilla con número azul</t>
  </si>
  <si>
    <t>Dato que escribes tú.</t>
  </si>
  <si>
    <t>Celda blanca con número negro</t>
  </si>
  <si>
    <t>Fórmula: se calcula sola, no la sobreescribas.</t>
  </si>
  <si>
    <t>Verde</t>
  </si>
  <si>
    <t>Todo en orden o pago ya registrado.</t>
  </si>
  <si>
    <t>Amarillo</t>
  </si>
  <si>
    <t>Aviso: revísalo pronto.</t>
  </si>
  <si>
    <t>Rojo</t>
  </si>
  <si>
    <t>Urgente: sobregiro o pago vencido sin registrar.</t>
  </si>
  <si>
    <t>CÓMO USAR EL ARCHIVO</t>
  </si>
  <si>
    <t>1. Config: confirma el año, los umbrales y tu meta de ahorro.</t>
  </si>
  <si>
    <t>2. Fijos: revisa los gastos fijos precargados, corrige montos y días de pago, agrega los tuyos.</t>
  </si>
  <si>
    <t>3. Quincenas: escribe en la columna G el ingreso que recibes en cada quincena.</t>
  </si>
  <si>
    <t>4. Registro: anota cada gasto conforme lo hagas. Todo lo demás se actualiza solo.</t>
  </si>
  <si>
    <t>5. Panel: míralo a diario, ahí salen las alertas.</t>
  </si>
  <si>
    <t>6. Control: revisa qué fijos ya pagaste y cuáles se te están pasando.</t>
  </si>
  <si>
    <t>7. Reporte: resumen mensual y gasto anual por categoría.</t>
  </si>
  <si>
    <t>CALENDARIO DE LAS 24 QUINCENAS DEL AÑO</t>
  </si>
  <si>
    <t>Lo único que escribes aquí es la columna G (ingreso de la quincena). Todo lo demás se calcula solo a partir de las hojas Fijos y Registro.</t>
  </si>
  <si>
    <t>Q1 = del día 1 al 15 del mes · Q2 = del día 16 al último día del mes. Las fechas cambian solas si cambias el año en la hoja Config.</t>
  </si>
  <si>
    <t>Nº</t>
  </si>
  <si>
    <t>Mes</t>
  </si>
  <si>
    <t>Mes
Nº</t>
  </si>
  <si>
    <t>Periodo</t>
  </si>
  <si>
    <t>Fecha
inicio</t>
  </si>
  <si>
    <t>Fecha
fin</t>
  </si>
  <si>
    <t>Ingreso de la
quincena</t>
  </si>
  <si>
    <t>Ingresos
extra</t>
  </si>
  <si>
    <t>Total
disponible</t>
  </si>
  <si>
    <t>Fijos
presupuestados</t>
  </si>
  <si>
    <t>Fijos
pagados</t>
  </si>
  <si>
    <t>Gastos
variables</t>
  </si>
  <si>
    <t>Ahorro
apartado</t>
  </si>
  <si>
    <t>Total
gastado</t>
  </si>
  <si>
    <t>Fijos
pendientes</t>
  </si>
  <si>
    <t>Disponible
restante</t>
  </si>
  <si>
    <t>Restante
proyectado</t>
  </si>
  <si>
    <t>%
ejecutado</t>
  </si>
  <si>
    <t>Estado de la quincena</t>
  </si>
  <si>
    <t>Fijos sin
registrar</t>
  </si>
  <si>
    <t>Enero</t>
  </si>
  <si>
    <t>Q1</t>
  </si>
  <si>
    <t>Q2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</si>
  <si>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</si>
  <si>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</si>
  <si>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</si>
  <si>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</si>
  <si>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</si>
  <si>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</si>
  <si>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</si>
  <si>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</si>
  <si>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</si>
  <si>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</si>
  <si>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</si>
  <si>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TOTAL DEL AÑO</t>
  </si>
  <si>
    <t>GASTOS FIJOS  ·  tu lista base de compromisos</t>
  </si>
  <si>
    <t>Escribe aquí todo lo que pagas siempre. Las columnas amarillas son tuyas: categoría, concepto, monto, día de pago, frecuencia, método y si está activo.</t>
  </si>
  <si>
    <t>Los montos precargados son un punto de partida realista, cámbialos por los tuyos. Para dar de baja un fijo pon 'No' en Activo, así conservas el histórico.</t>
  </si>
  <si>
    <t>ID</t>
  </si>
  <si>
    <t>Categoría</t>
  </si>
  <si>
    <t>Monto
estimado</t>
  </si>
  <si>
    <t>Día de
pago</t>
  </si>
  <si>
    <t>Frecuencia</t>
  </si>
  <si>
    <t>Aplica a</t>
  </si>
  <si>
    <t>Método de pago</t>
  </si>
  <si>
    <t>Activo</t>
  </si>
  <si>
    <t>Costo
mensual</t>
  </si>
  <si>
    <t>Costo
anual</t>
  </si>
  <si>
    <t>Notas</t>
  </si>
  <si>
    <t>Vivienda</t>
  </si>
  <si>
    <t>Mensual</t>
  </si>
  <si>
    <t>Transferencia</t>
  </si>
  <si>
    <t>Sí</t>
  </si>
  <si>
    <t>Servicios básicos</t>
  </si>
  <si>
    <t>Débito automático</t>
  </si>
  <si>
    <t>Efectivo</t>
  </si>
  <si>
    <t>Internet y teléfono</t>
  </si>
  <si>
    <t>Tarjeta de crédito</t>
  </si>
  <si>
    <t>Transporte</t>
  </si>
  <si>
    <t>Pasajes y transporte</t>
  </si>
  <si>
    <t>Quincenal</t>
  </si>
  <si>
    <t>Combustible</t>
  </si>
  <si>
    <t>Tarjeta de débito</t>
  </si>
  <si>
    <t>Deudas y tarjetas</t>
  </si>
  <si>
    <t>Suscripciones</t>
  </si>
  <si>
    <t>Streaming</t>
  </si>
  <si>
    <t>Seguros</t>
  </si>
  <si>
    <t>TOTAL DE GASTOS FIJOS ACTIVOS</t>
  </si>
  <si>
    <t>RESUMEN DE TUS FIJOS</t>
  </si>
  <si>
    <t>Fijos que se pagan en la primera quincena (Q1)</t>
  </si>
  <si>
    <t>Fijos que se pagan en la segunda quincena (Q2)</t>
  </si>
  <si>
    <t>Total mensual de fijos</t>
  </si>
  <si>
    <t>Total anual de fijos</t>
  </si>
  <si>
    <t>Cantidad de fijos activos</t>
  </si>
  <si>
    <t>Cantidad de fijos dados de baja</t>
  </si>
  <si>
    <t>REGISTRO DE MOVIMIENTOS  ·  aquí anotas cada gasto</t>
  </si>
  <si>
    <t>Escribe solo las columnas amarillas: fecha, tipo, categoría, concepto, monto, método, estado y notas. La quincena, el mes y la revisión se calculan solos.</t>
  </si>
  <si>
    <t>Tipo: Fijo (algo de tu lista de gastos fijos) · Variable (lo demás) · Ahorro (lo que apartas) · Ingreso extra (dinero que entra fuera del salario, suma al disponible).</t>
  </si>
  <si>
    <t>Para que un fijo se marque como pagado en la hoja Control, el Concepto tiene que ser exactamente el mismo de la hoja Fijos. Usa el desplegable y no lo escribas a mano.</t>
  </si>
  <si>
    <t>Fecha</t>
  </si>
  <si>
    <t>Quincena</t>
  </si>
  <si>
    <t>Tipo</t>
  </si>
  <si>
    <t>Estado</t>
  </si>
  <si>
    <t>Revisión automática</t>
  </si>
  <si>
    <t>Fijo</t>
  </si>
  <si>
    <t>Pagado</t>
  </si>
  <si>
    <t>Variable</t>
  </si>
  <si>
    <t>Supermercado</t>
  </si>
  <si>
    <t>Restaurantes</t>
  </si>
  <si>
    <t>Ahorro</t>
  </si>
  <si>
    <t>CONTROL DE PAGOS FIJOS  ·  qué toca pagar, qué ya pagaste, qué se te pasó</t>
  </si>
  <si>
    <t>Quincena analizada:</t>
  </si>
  <si>
    <t>Para revisar otra quincena, cambia el número en Config (celda C8). Con 0 usa siempre la quincena de hoy.</t>
  </si>
  <si>
    <t>Periodo:</t>
  </si>
  <si>
    <t>Fechas:</t>
  </si>
  <si>
    <t>Presupuestado</t>
  </si>
  <si>
    <t>Se paga
el</t>
  </si>
  <si>
    <t>Registrado</t>
  </si>
  <si>
    <t>Fecha en que
lo pagaste</t>
  </si>
  <si>
    <t>Diferencia</t>
  </si>
  <si>
    <t>Días
restantes</t>
  </si>
  <si>
    <t>TOTALES DE LA QUINCENA</t>
  </si>
  <si>
    <t>RESUMEN DE PAGOS FIJOS DE ESTA QUINCENA</t>
  </si>
  <si>
    <t>Total presupuestado en fijos</t>
  </si>
  <si>
    <t>Total ya pagado y registrado</t>
  </si>
  <si>
    <t>Pendiente por pagar</t>
  </si>
  <si>
    <t>Pagos vencidos sin registrar</t>
  </si>
  <si>
    <t>Pagos por vencer pronto</t>
  </si>
  <si>
    <t>Pagos ya registrados</t>
  </si>
  <si>
    <t>Pagos pendientes todavía sin vencer</t>
  </si>
  <si>
    <t>HISTORIAL ANUAL DE PAGOS FIJOS  ·  monto registrado en cada quincena (C$)</t>
  </si>
  <si>
    <t>Rojo = esa quincena ya cerró y el fijo no aparece registrado: lo más probable es que se te olvidara anotarlo. Verde = registrado.</t>
  </si>
  <si>
    <t>Solo se revisan las quincenas posteriores a la fecha 'Llevo el control desde' de la hoja Config, para no reclamarte meses que nunca usaste.</t>
  </si>
  <si>
    <t>Aplica</t>
  </si>
  <si>
    <t>Periodo del mes</t>
  </si>
  <si>
    <t>La quincena cierra el</t>
  </si>
  <si>
    <t>Fijos sin registrar en quincenas ya cerradas</t>
  </si>
  <si>
    <t>REPORTES  ·  resumen mensual y gasto por categoría</t>
  </si>
  <si>
    <t>Todo se calcula solo a partir de las hojas Quincenas, Fijos y Registro. No hay nada que escribir en esta hoja.</t>
  </si>
  <si>
    <t>Ingreso</t>
  </si>
  <si>
    <t>Saldo del
mes</t>
  </si>
  <si>
    <t>% de
ahorro</t>
  </si>
  <si>
    <t>Estado del mes</t>
  </si>
  <si>
    <t>TOTAL AÑO</t>
  </si>
  <si>
    <t>El presupuesto solo existe para las categorías donde tienes gastos fijos. En las variables la columna de presupuesto queda en cero y solo verás lo que llevas gastado.</t>
  </si>
  <si>
    <t>GASTO POR CATEGORÍA</t>
  </si>
  <si>
    <t>Presupuesto fijo
del año</t>
  </si>
  <si>
    <t>Presupuesto acumulado
desde que llevas el control</t>
  </si>
  <si>
    <t>Registrado en
el año</t>
  </si>
  <si>
    <t>Diferencia contra lo
presupuestado a la fecha</t>
  </si>
  <si>
    <t>Registrado en la
quincena activa</t>
  </si>
  <si>
    <t>% del gasto
del año</t>
  </si>
  <si>
    <t>BASE DEL CÁLCULO ACUMULADO</t>
  </si>
  <si>
    <t>Quincena en que empezaste el control</t>
  </si>
  <si>
    <t>Quincenas Q1 transcurridas</t>
  </si>
  <si>
    <t>Quincenas Q2 transcurridas</t>
  </si>
  <si>
    <t>Quincenas contadas en total</t>
  </si>
  <si>
    <t>Sale de la fecha 'Llevo el control desde' de la hoja Config.</t>
  </si>
  <si>
    <t>TOTAL</t>
  </si>
  <si>
    <t>LISTAS MAESTRAS  ·  alimentan los desplegables del archivo</t>
  </si>
  <si>
    <t>Puedes cambiar los textos de cada bloque. Si agregas filas nuevas al final de un bloque, amplia el rango del nombre definido correspondiente (Formulas &gt; Administrador de nombres).</t>
  </si>
  <si>
    <t>Tipo sugerido</t>
  </si>
  <si>
    <t>Tipo de movimiento</t>
  </si>
  <si>
    <t>Frecuencia / Sí-No</t>
  </si>
  <si>
    <t>Pendiente</t>
  </si>
  <si>
    <t>Programado</t>
  </si>
  <si>
    <t>Ingreso extra</t>
  </si>
  <si>
    <t>Billetera móvil</t>
  </si>
  <si>
    <t>No</t>
  </si>
  <si>
    <t>Otro</t>
  </si>
  <si>
    <t>J4:J5 frecuencia · J7:J8 activo</t>
  </si>
  <si>
    <t>Alimentación</t>
  </si>
  <si>
    <t>Salud</t>
  </si>
  <si>
    <t>Educación</t>
  </si>
  <si>
    <t>Cuidado personal</t>
  </si>
  <si>
    <t>Ropa y calzado</t>
  </si>
  <si>
    <t>Entretenimiento</t>
  </si>
  <si>
    <t>Hogar y mantenimiento</t>
  </si>
  <si>
    <t>Mascotas</t>
  </si>
  <si>
    <t>Regalos y celebraciones</t>
  </si>
  <si>
    <t>Familia</t>
  </si>
  <si>
    <t>Impuestos y trámites</t>
  </si>
  <si>
    <t>Imprevistos</t>
  </si>
  <si>
    <t>Otros</t>
  </si>
  <si>
    <t>Apoyo Casa</t>
  </si>
  <si>
    <t>Pago Perfume</t>
  </si>
  <si>
    <t>Presupuesto de Kelly</t>
  </si>
  <si>
    <t>Telefono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</si>
</sst>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C$&quot;#,##0.00;&quot;-C$&quot;#,##0.00;\-"/>
    <numFmt numFmtId="165" formatCode="0.0%"/>
    <numFmt numFmtId="166" formatCode="#,##0;\-#,##0;\-"/>
    <numFmt numFmtId="167" formatCode="dd/mm/yyyy"/>
    <numFmt numFmtId="168" formatCode="dd/mm"/>
    <numFmt numFmtId="169" formatCode="#,##0;\-#,##0;&quot;&quot;"/>
  </numFmts>
  <fonts count="26" x14ac:knownFonts="1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1F3864"/>
      <name val="Arial"/>
      <charset val="1"/>
    </font>
    <font>
      <b/>
      <sz val="10"/>
      <color rgb="FF000000"/>
      <name val="Arial"/>
      <charset val="1"/>
    </font>
    <font>
      <b/>
      <sz val="11"/>
      <color rgb="FF1F3864"/>
      <name val="Arial"/>
      <charset val="1"/>
    </font>
    <font>
      <b/>
      <sz val="10"/>
      <color rgb="FFFFFFFF"/>
      <name val="Arial"/>
      <charset val="1"/>
    </font>
    <font>
      <b/>
      <sz val="11"/>
      <color rgb="FF000000"/>
      <name val="Arial"/>
      <charset val="1"/>
    </font>
    <font>
      <sz val="10"/>
      <color rgb="FF000000"/>
      <name val="Arial"/>
      <charset val="1"/>
    </font>
    <font>
      <sz val="9"/>
      <color rgb="FF595959"/>
      <name val="Arial"/>
      <charset val="1"/>
    </font>
    <font>
      <sz val="11"/>
      <color rgb="FF000000"/>
      <name val="Arial"/>
      <charset val="1"/>
    </font>
    <font>
      <b/>
      <sz val="14"/>
      <color rgb="FFFFFFFF"/>
      <name val="Arial"/>
      <charset val="1"/>
    </font>
    <font>
      <i/>
      <sz val="9"/>
      <color rgb="FF595959"/>
      <name val="Arial"/>
      <charset val="1"/>
    </font>
    <font>
      <b/>
      <sz val="10"/>
      <color rgb="FF0000FF"/>
      <name val="Arial"/>
      <charset val="1"/>
    </font>
    <font>
      <b/>
      <sz val="10"/>
      <color rgb="FF006100"/>
      <name val="Arial"/>
      <charset val="1"/>
    </font>
    <font>
      <b/>
      <sz val="10"/>
      <color rgb="FF9C6500"/>
      <name val="Arial"/>
      <charset val="1"/>
    </font>
    <font>
      <b/>
      <sz val="10"/>
      <color rgb="FF9C0006"/>
      <name val="Arial"/>
      <charset val="1"/>
    </font>
    <font>
      <b/>
      <sz val="9"/>
      <color rgb="FF000000"/>
      <name val="Arial"/>
      <charset val="1"/>
    </font>
    <font>
      <sz val="10"/>
      <color rgb="FF0000FF"/>
      <name val="Arial"/>
      <charset val="1"/>
    </font>
    <font>
      <sz val="9"/>
      <color rgb="FF0000FF"/>
      <name val="Arial"/>
      <charset val="1"/>
    </font>
    <font>
      <sz val="9"/>
      <color rgb="FF000000"/>
      <name val="Arial"/>
      <charset val="1"/>
    </font>
    <font>
      <b/>
      <sz val="9"/>
      <color rgb="FFFFFFFF"/>
      <name val="Arial"/>
      <charset val="1"/>
    </font>
    <font>
      <i/>
      <sz val="8"/>
      <color rgb="FF595959"/>
      <name val="Arial"/>
      <charset val="1"/>
    </font>
    <font>
      <sz val="8"/>
      <color rgb="FF595959"/>
      <name val="Arial"/>
      <charset val="1"/>
    </font>
    <font>
      <sz val="8"/>
      <color rgb="FF000000"/>
      <name val="Arial"/>
      <charset val="1"/>
    </font>
    <font>
      <b/>
      <sz val="9"/>
      <color rgb="FF1F3864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D9E2F3"/>
        <bgColor rgb="FFDDEBF7"/>
      </patternFill>
    </fill>
    <fill>
      <patternFill patternType="solid">
        <fgColor rgb="FFFFF2CC"/>
        <bgColor rgb="FFF2F2F2"/>
      </patternFill>
    </fill>
    <fill>
      <patternFill patternType="solid">
        <fgColor rgb="FFFFFFFF"/>
        <bgColor rgb="FFF9F9F9"/>
      </patternFill>
    </fill>
    <fill>
      <patternFill patternType="solid">
        <fgColor rgb="FFC6EFCE"/>
        <bgColor rgb="FFDDEBF7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EEF3FB"/>
        <bgColor rgb="FFF2F2F2"/>
      </patternFill>
    </fill>
    <fill>
      <patternFill patternType="solid">
        <fgColor rgb="FFF2F2F2"/>
        <bgColor rgb="FFEEF3FB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22" fillId="11" borderId="1" xfId="0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6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6" fillId="3" borderId="1" xfId="0" applyFont="1" applyFill="1" applyBorder="1" applyAlignment="1">
      <alignment horizontal="center" vertical="center" wrapText="1"/>
    </xf>
    <xf numFmtId="164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center"/>
    </xf>
    <xf numFmtId="165" fontId="4" fillId="0" borderId="1" xfId="0" applyNumberFormat="1" applyFont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0" fontId="12" fillId="0" borderId="0" xfId="0" applyFont="1" applyAlignment="1">
      <alignment horizontal="left" vertical="center"/>
    </xf>
    <xf numFmtId="0" fontId="13" fillId="5" borderId="1" xfId="0" applyFont="1" applyFill="1" applyBorder="1" applyAlignment="1">
      <alignment horizontal="center" vertical="center"/>
    </xf>
    <xf numFmtId="1" fontId="13" fillId="5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67" fontId="13" fillId="5" borderId="1" xfId="0" applyNumberFormat="1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166" fontId="13" fillId="5" borderId="1" xfId="0" applyNumberFormat="1" applyFont="1" applyFill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3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vertical="center"/>
    </xf>
    <xf numFmtId="0" fontId="14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vertical="center"/>
    </xf>
    <xf numFmtId="0" fontId="15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vertical="center"/>
    </xf>
    <xf numFmtId="0" fontId="16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164" fontId="13" fillId="5" borderId="1" xfId="0" applyNumberFormat="1" applyFont="1" applyFill="1" applyBorder="1" applyAlignment="1">
      <alignment horizontal="right" vertical="center"/>
    </xf>
    <xf numFmtId="164" fontId="8" fillId="0" borderId="1" xfId="0" applyNumberFormat="1" applyFont="1" applyBorder="1" applyAlignment="1">
      <alignment vertical="center"/>
    </xf>
    <xf numFmtId="164" fontId="4" fillId="0" borderId="1" xfId="0" applyNumberFormat="1" applyFont="1" applyBorder="1" applyAlignment="1">
      <alignment vertical="center"/>
    </xf>
    <xf numFmtId="0" fontId="4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left" vertical="center"/>
    </xf>
    <xf numFmtId="166" fontId="8" fillId="10" borderId="1" xfId="0" applyNumberFormat="1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167" fontId="8" fillId="10" borderId="1" xfId="0" applyNumberFormat="1" applyFont="1" applyFill="1" applyBorder="1" applyAlignment="1">
      <alignment horizontal="center" vertical="center"/>
    </xf>
    <xf numFmtId="164" fontId="8" fillId="10" borderId="1" xfId="0" applyNumberFormat="1" applyFont="1" applyFill="1" applyBorder="1" applyAlignment="1">
      <alignment vertical="center"/>
    </xf>
    <xf numFmtId="164" fontId="4" fillId="10" borderId="1" xfId="0" applyNumberFormat="1" applyFont="1" applyFill="1" applyBorder="1" applyAlignment="1">
      <alignment vertical="center"/>
    </xf>
    <xf numFmtId="165" fontId="8" fillId="10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166" fontId="4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center"/>
    </xf>
    <xf numFmtId="166" fontId="18" fillId="5" borderId="1" xfId="0" applyNumberFormat="1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left" vertical="center"/>
    </xf>
    <xf numFmtId="0" fontId="9" fillId="10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vertical="center"/>
    </xf>
    <xf numFmtId="167" fontId="18" fillId="5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10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righ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21" fillId="3" borderId="1" xfId="0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168" fontId="23" fillId="11" borderId="1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9" fontId="24" fillId="0" borderId="1" xfId="0" applyNumberFormat="1" applyFont="1" applyBorder="1" applyAlignment="1">
      <alignment horizontal="center" vertical="center"/>
    </xf>
    <xf numFmtId="0" fontId="20" fillId="10" borderId="1" xfId="0" applyFont="1" applyFill="1" applyBorder="1" applyAlignment="1">
      <alignment horizontal="center" vertical="center"/>
    </xf>
    <xf numFmtId="166" fontId="17" fillId="4" borderId="1" xfId="0" applyNumberFormat="1" applyFont="1" applyFill="1" applyBorder="1" applyAlignment="1">
      <alignment horizontal="center" vertical="center"/>
    </xf>
    <xf numFmtId="166" fontId="9" fillId="0" borderId="1" xfId="0" applyNumberFormat="1" applyFont="1" applyBorder="1" applyAlignment="1">
      <alignment horizontal="center" vertical="center"/>
    </xf>
    <xf numFmtId="166" fontId="9" fillId="10" borderId="1" xfId="0" applyNumberFormat="1" applyFont="1" applyFill="1" applyBorder="1" applyAlignment="1">
      <alignment horizontal="center" vertical="center"/>
    </xf>
    <xf numFmtId="166" fontId="17" fillId="0" borderId="1" xfId="0" applyNumberFormat="1" applyFont="1" applyBorder="1" applyAlignment="1">
      <alignment horizontal="center" vertical="center"/>
    </xf>
    <xf numFmtId="0" fontId="25" fillId="4" borderId="1" xfId="0" applyFont="1" applyFill="1" applyBorder="1" applyAlignment="1">
      <alignment horizontal="right" vertical="center"/>
    </xf>
  </cellXfs>
  <cellStyles count="1">
    <cellStyle name="Normal" xfId="0" builtinId="0"/>
  </cellStyles>
  <dxfs count="47">
    <dxf>
      <font>
        <b/>
        <sz val="9"/>
        <color rgb="FF595959"/>
        <name val="Arial"/>
        <charset val="1"/>
      </font>
      <fill>
        <patternFill>
          <bgColor rgb="FFE7E6E6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color rgb="FF006100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sz val="8"/>
        <color rgb="FF006100"/>
        <name val="Arial"/>
        <charset val="1"/>
      </font>
      <fill>
        <patternFill>
          <bgColor rgb="FFC6EFCE"/>
        </patternFill>
      </fill>
    </dxf>
    <dxf>
      <font>
        <b/>
        <sz val="8"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</dxf>
    <dxf>
      <font>
        <b/>
        <sz val="9"/>
        <color rgb="FFA6A6A6"/>
        <name val="Arial"/>
        <charset val="1"/>
      </font>
      <fill>
        <patternFill>
          <bgColor rgb="FFF2F2F2"/>
        </patternFill>
      </fill>
    </dxf>
    <dxf>
      <font>
        <b/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sz val="9"/>
        <color rgb="FF7F6000"/>
        <name val="Arial"/>
        <charset val="1"/>
      </font>
      <fill>
        <patternFill>
          <bgColor rgb="FFFFF2CC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0006"/>
        <name val="Arial"/>
        <charset val="1"/>
      </font>
      <fill>
        <patternFill>
          <bgColor rgb="FFFFC7CE"/>
        </patternFill>
      </fill>
    </dxf>
    <dxf>
      <font>
        <b/>
        <sz val="9"/>
        <color rgb="FF9C6500"/>
        <name val="Arial"/>
        <charset val="1"/>
      </font>
      <fill>
        <patternFill>
          <bgColor rgb="FFFFEB9C"/>
        </patternFill>
      </fill>
    </dxf>
    <dxf>
      <font>
        <sz val="9"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006100"/>
        <name val="Arial"/>
        <charset val="1"/>
      </font>
    </dxf>
    <dxf>
      <font>
        <i/>
        <color rgb="FFA6A6A6"/>
        <name val="Arial"/>
        <charset val="1"/>
      </font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006100"/>
        <name val="Arial"/>
        <charset val="1"/>
      </font>
      <fill>
        <patternFill>
          <bgColor rgb="FFC6EFCE"/>
        </patternFill>
      </fill>
    </dxf>
    <dxf>
      <font>
        <b/>
        <color rgb="FF595959"/>
        <name val="Arial"/>
        <charset val="1"/>
      </font>
      <fill>
        <patternFill>
          <bgColor rgb="FFE7E6E6"/>
        </patternFill>
      </fill>
    </dxf>
    <dxf>
      <font>
        <b/>
        <color rgb="FF9C6500"/>
        <name val="Arial"/>
        <charset val="1"/>
      </font>
      <fill>
        <patternFill>
          <bgColor rgb="FFFFEB9C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border diagonalUp="0" diagonalDown="0">
        <left style="medium">
          <color rgb="FF1F3864"/>
        </left>
        <right style="medium">
          <color rgb="FF1F3864"/>
        </right>
        <top style="medium">
          <color rgb="FF1F3864"/>
        </top>
        <bottom style="medium">
          <color rgb="FF1F3864"/>
        </bottom>
      </border>
    </dxf>
    <dxf>
      <font>
        <b/>
        <sz val="11"/>
        <color rgb="FF595959"/>
        <name val="Arial"/>
        <charset val="1"/>
      </font>
      <fill>
        <patternFill>
          <bgColor rgb="FFE7E6E6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6500"/>
        <name val="Arial"/>
        <charset val="1"/>
      </font>
      <fill>
        <patternFill>
          <bgColor rgb="FFFFEB9C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  <fill>
        <patternFill>
          <bgColor rgb="FFC6EFCE"/>
        </patternFill>
      </fill>
    </dxf>
    <dxf>
      <font>
        <b/>
        <sz val="11"/>
        <color rgb="FF9C6500"/>
        <name val="Arial"/>
        <charset val="1"/>
      </font>
      <fill>
        <patternFill>
          <bgColor rgb="FFFFEB9C"/>
        </patternFill>
      </fill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1"/>
        <color rgb="FF006100"/>
        <name val="Arial"/>
        <charset val="1"/>
      </font>
    </dxf>
    <dxf>
      <font>
        <b/>
        <sz val="11"/>
        <color rgb="FF9C0006"/>
        <name val="Arial"/>
        <charset val="1"/>
      </font>
      <fill>
        <patternFill>
          <bgColor rgb="FFFFC7CE"/>
        </patternFill>
      </fill>
    </dxf>
    <dxf>
      <font>
        <b/>
        <sz val="10"/>
        <color rgb="FF1F3864"/>
        <name val="Arial"/>
        <charset val="1"/>
      </font>
      <fill>
        <patternFill>
          <bgColor rgb="FFDDEBF7"/>
        </patternFill>
      </fill>
    </dxf>
    <dxf>
      <font>
        <b/>
        <sz val="10"/>
        <color rgb="FF006100"/>
        <name val="Arial"/>
        <charset val="1"/>
      </font>
      <fill>
        <patternFill>
          <bgColor rgb="FFC6EFCE"/>
        </patternFill>
      </fill>
    </dxf>
    <dxf>
      <font>
        <b/>
        <sz val="10"/>
        <color rgb="FF9C6500"/>
        <name val="Arial"/>
        <charset val="1"/>
      </font>
      <fill>
        <patternFill>
          <bgColor rgb="FFFFEB9C"/>
        </patternFill>
      </fill>
    </dxf>
    <dxf>
      <font>
        <b/>
        <sz val="10"/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9C0006"/>
      <rgbColor rgb="FF006100"/>
      <rgbColor rgb="FF000080"/>
      <rgbColor rgb="FF7F6000"/>
      <rgbColor rgb="FF800080"/>
      <rgbColor rgb="FF008080"/>
      <rgbColor rgb="FFBFBFBF"/>
      <rgbColor rgb="FF7F7F7F"/>
      <rgbColor rgb="FFA6A6A6"/>
      <rgbColor rgb="FF7030A0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3FB"/>
      <rgbColor rgb="FFC6EFCE"/>
      <rgbColor rgb="FFFFEB9C"/>
      <rgbColor rgb="FFD9E2F3"/>
      <rgbColor rgb="FFE7E6E6"/>
      <rgbColor rgb="FFF2F2F2"/>
      <rgbColor rgb="FFFFC7CE"/>
      <rgbColor rgb="FF4F81BD"/>
      <rgbColor rgb="FF33CCCC"/>
      <rgbColor rgb="FF99CC00"/>
      <rgbColor rgb="FFFFCC00"/>
      <rgbColor rgb="FFBF8F00"/>
      <rgbColor rgb="FFC55A11"/>
      <rgbColor rgb="FF595959"/>
      <rgbColor rgb="FF878787"/>
      <rgbColor rgb="FF1F3864"/>
      <rgbColor rgb="FF2E7D32"/>
      <rgbColor rgb="FF003300"/>
      <rgbColor rgb="FF333300"/>
      <rgbColor rgb="FF9C6500"/>
      <rgbColor rgb="FFC0504D"/>
      <rgbColor rgb="FF2F5597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NI" sz="1800" b="1" strike="noStrike" spc="-1">
                <a:solidFill>
                  <a:srgbClr val="000000"/>
                </a:solidFill>
                <a:latin typeface="Calibri"/>
              </a:rPr>
              <a:t>Ingreso contra gasto total por mes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Reporte!$C$4</c:f>
              <c:strCache>
                <c:ptCount val="1"/>
                <c:pt idx="0">
                  <c:v>Ingreso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Reporte!$A$5:$A$16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Reporte!$C$5:$C$16</c:f>
              <c:numCache>
                <c:formatCode>"C$"#,##0.00;"-C$"#,##0.00;\-</c:formatCode>
                <c:ptCount val="12"/>
                <c:pt idx="0">
                  <c:v>17000</c:v>
                </c:pt>
                <c:pt idx="1">
                  <c:v>17000</c:v>
                </c:pt>
                <c:pt idx="2">
                  <c:v>17000</c:v>
                </c:pt>
                <c:pt idx="3">
                  <c:v>17000</c:v>
                </c:pt>
                <c:pt idx="4">
                  <c:v>17000</c:v>
                </c:pt>
                <c:pt idx="5">
                  <c:v>17000</c:v>
                </c:pt>
                <c:pt idx="6">
                  <c:v>17000</c:v>
                </c:pt>
                <c:pt idx="7">
                  <c:v>17000</c:v>
                </c:pt>
                <c:pt idx="8">
                  <c:v>17000</c:v>
                </c:pt>
                <c:pt idx="9">
                  <c:v>17000</c:v>
                </c:pt>
                <c:pt idx="10">
                  <c:v>17000</c:v>
                </c:pt>
                <c:pt idx="11">
                  <c:v>17000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9B-460B-AADF-5B02C0E965EB}"/>
            </c:ext>
          </c:extLst>
        </c:ser>
        <c:ser>
          <c:idx val="1"/>
          <c:order val="1"/>
          <c:tx>
            <c:strRef>
              <c:f>Reporte!$G$4</c:f>
              <c:strCache>
                <c:ptCount val="1"/>
                <c:pt idx="0">
                  <c:v>Total
gastado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NI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Reporte!$A$5:$A$16</c:f>
              <c:strCache>
                <c:ptCount val="12"/>
                <c:pt idx="0">
                  <c:v>Enero</c:v>
                </c:pt>
                <c:pt idx="1">
                  <c:v>Febrero</c:v>
                </c:pt>
                <c:pt idx="2">
                  <c:v>Marzo</c:v>
                </c:pt>
                <c:pt idx="3">
                  <c:v>Abril</c:v>
                </c:pt>
                <c:pt idx="4">
                  <c:v>Mayo</c:v>
                </c:pt>
                <c:pt idx="5">
                  <c:v>Junio</c:v>
                </c:pt>
                <c:pt idx="6">
                  <c:v>Julio</c:v>
                </c:pt>
                <c:pt idx="7">
                  <c:v>Agosto</c:v>
                </c:pt>
                <c:pt idx="8">
                  <c:v>Septiembre</c:v>
                </c:pt>
                <c:pt idx="9">
                  <c:v>Octubre</c:v>
                </c:pt>
                <c:pt idx="10">
                  <c:v>Noviembre</c:v>
                </c:pt>
                <c:pt idx="11">
                  <c:v>Diciembre</c:v>
                </c:pt>
              </c:strCache>
            </c:strRef>
          </c:cat>
          <c:val>
            <c:numRef>
              <c:f>Reporte!$G$5:$G$16</c:f>
              <c:numCache>
                <c:formatCode>"C$"#,##0.00;"-C$"#,##0.00;\-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9B-460B-AADF-5B02C0E965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2647607"/>
        <c:axId val="80981979"/>
      </c:barChart>
      <c:catAx>
        <c:axId val="426476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80981979"/>
        <c:crosses val="autoZero"/>
        <c:auto val="1"/>
        <c:lblAlgn val="ctr"/>
        <c:lblOffset val="100"/>
        <c:noMultiLvlLbl val="0"/>
      </c:catAx>
      <c:valAx>
        <c:axId val="8098197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s-NI" sz="1000" b="1" strike="noStrike" spc="-1">
                    <a:solidFill>
                      <a:srgbClr val="000000"/>
                    </a:solidFill>
                    <a:latin typeface="Calibri"/>
                  </a:rPr>
                  <a:t>Córdobas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C$&quot;#,##0.00;&quot;-C$&quot;#,##0.0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NI"/>
          </a:p>
        </c:txPr>
        <c:crossAx val="4264760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NI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3</xdr:row>
      <xdr:rowOff>0</xdr:rowOff>
    </xdr:from>
    <xdr:to>
      <xdr:col>23</xdr:col>
      <xdr:colOff>473040</xdr:colOff>
      <xdr:row>17</xdr:row>
      <xdr:rowOff>78120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A1:E51"/>
  <sheetViews>
    <sheetView showGridLines="0" zoomScaleNormal="100" workbookViewId="0">
      <pane ySplit="8" topLeftCell="A9" activePane="bottomLeft" state="frozen"/>
      <selection pane="bottomLeft" activeCell="C16" sqref="C16"/>
    </sheetView>
  </sheetViews>
  <sheetFormatPr baseColWidth="10" defaultColWidth="8.7109375" defaultRowHeight="15" x14ac:dyDescent="0.25"/>
  <cols>
    <col min="1" max="1" width="3" customWidth="1"/>
    <col min="2" max="2" width="48" customWidth="1"/>
    <col min="3" max="3" width="19" customWidth="1"/>
    <col min="4" max="4" width="14" customWidth="1"/>
    <col min="5" max="5" width="58" customWidth="1"/>
  </cols>
  <sheetData>
    <row r="1" spans="1:5" ht="27.75" customHeight="1" x14ac:dyDescent="0.25">
      <c r="A1" s="14" t="s">
        <v>0</v>
      </c>
      <c r="B1" s="14"/>
      <c r="C1" s="14"/>
      <c r="D1" s="14"/>
      <c r="E1" s="14"/>
    </row>
    <row r="2" spans="1:5" ht="19.5" customHeight="1" x14ac:dyDescent="0.25">
      <c r="A2" s="13" t="str">
        <f ca="1">Config!$C$5&amp;"   ·   año "&amp;TEXT(Anio,"0")&amp;"   ·   hoy es "&amp;TEXT(TODAY(),"DD/MM/YYYY")</f>
        <v>Presupuesto de Kelly   ·   año 2026   ·   hoy es 31/08/2026</v>
      </c>
      <c r="B2" s="13"/>
      <c r="C2" s="13"/>
      <c r="D2" s="13"/>
      <c r="E2" s="13"/>
    </row>
    <row r="4" spans="1:5" ht="19.5" customHeight="1" x14ac:dyDescent="0.25">
      <c r="B4" s="15" t="s">
        <v>1</v>
      </c>
      <c r="C4" s="12" t="str">
        <f ca="1">"Nº "&amp;TEXT(Q_Activa,"0")&amp;"  ·  "&amp;INDEX(Quincenas!$B$7:$B$30,Q_Activa)&amp;" "&amp;INDEX(Quincenas!$D$7:$D$30,Q_Activa)&amp;"  ·  del "&amp;TEXT(INDEX(Quincenas!$E$7:$E$30,Q_Activa),"DD/MM")&amp;" al "&amp;TEXT(INDEX(Quincenas!$F$7:$F$30,Q_Activa),"DD/MM/YYYY")</f>
        <v>Nº 16  ·  Agosto Q2  ·  del 16/08 al 31/08/2026</v>
      </c>
      <c r="D4" s="12"/>
      <c r="E4" s="12"/>
    </row>
    <row r="5" spans="1:5" ht="19.5" customHeight="1" x14ac:dyDescent="0.25">
      <c r="B5" s="15" t="s">
        <v>2</v>
      </c>
      <c r="C5" s="12" t="str">
        <f ca="1">MAX(0,INDEX(Quincenas!$F$7:$F$30,Q_Activa)-TODAY())&amp;" día(s)"</f>
        <v>0 día(s)</v>
      </c>
      <c r="D5" s="12"/>
      <c r="E5" s="12"/>
    </row>
    <row r="6" spans="1:5" ht="19.5" customHeight="1" x14ac:dyDescent="0.25">
      <c r="B6" s="15" t="s">
        <v>3</v>
      </c>
      <c r="C6" s="12" t="str">
        <f ca="1">IF(COUNT(Reg_Fecha)=0,"Todavía no registras nada",TEXT(MAX(Reg_Fecha),"DD/MM/YYYY")&amp;"  (hace "&amp;TEXT(MAX(0,TODAY()-MAX(Reg_Fecha)),"0")&amp;" día(s))")</f>
        <v>Todavía no registras nada</v>
      </c>
      <c r="D6" s="12"/>
      <c r="E6" s="12"/>
    </row>
    <row r="8" spans="1:5" ht="19.5" customHeight="1" x14ac:dyDescent="0.25">
      <c r="B8" s="11" t="s">
        <v>4</v>
      </c>
      <c r="C8" s="11"/>
      <c r="D8" s="11"/>
      <c r="E8" s="11"/>
    </row>
    <row r="9" spans="1:5" ht="30" customHeight="1" x14ac:dyDescent="0.25">
      <c r="B9" s="17" t="s">
        <v>5</v>
      </c>
      <c r="C9" s="17" t="s">
        <v>6</v>
      </c>
      <c r="D9" s="17" t="s">
        <v>7</v>
      </c>
      <c r="E9" s="17" t="s">
        <v>8</v>
      </c>
    </row>
    <row r="10" spans="1:5" ht="24" x14ac:dyDescent="0.25">
      <c r="B10" s="16" t="s">
        <v>9</v>
      </c>
      <c r="C10" s="18">
        <f ca="1">INDEX(Quincenas!$I$7:$I$30,Q_Activa)</f>
        <v>8500</v>
      </c>
      <c r="D10" s="19"/>
      <c r="E10" s="20" t="s">
        <v>10</v>
      </c>
    </row>
    <row r="11" spans="1:5" x14ac:dyDescent="0.25">
      <c r="B11" s="21" t="s">
        <v>11</v>
      </c>
      <c r="C11" s="22">
        <f ca="1">INDEX(Quincenas!$J$7:$J$30,Q_Activa)</f>
        <v>6400</v>
      </c>
      <c r="D11" s="19">
        <f t="shared" ref="D11:D18" ca="1" si="0">IF($C$10=0,"",$C11/$C$10)</f>
        <v>0.75294117647058822</v>
      </c>
      <c r="E11" s="20" t="s">
        <v>12</v>
      </c>
    </row>
    <row r="12" spans="1:5" x14ac:dyDescent="0.25">
      <c r="B12" s="21" t="s">
        <v>13</v>
      </c>
      <c r="C12" s="22">
        <f ca="1">INDEX(Quincenas!$K$7:$K$30,Q_Activa)</f>
        <v>0</v>
      </c>
      <c r="D12" s="19">
        <f t="shared" ca="1" si="0"/>
        <v>0</v>
      </c>
      <c r="E12" s="20" t="s">
        <v>14</v>
      </c>
    </row>
    <row r="13" spans="1:5" x14ac:dyDescent="0.25">
      <c r="B13" s="21" t="s">
        <v>15</v>
      </c>
      <c r="C13" s="22">
        <f ca="1">INDEX(Quincenas!$O$7:$O$30,Q_Activa)</f>
        <v>6400</v>
      </c>
      <c r="D13" s="19">
        <f t="shared" ca="1" si="0"/>
        <v>0.75294117647058822</v>
      </c>
      <c r="E13" s="20" t="s">
        <v>16</v>
      </c>
    </row>
    <row r="14" spans="1:5" x14ac:dyDescent="0.25">
      <c r="B14" s="21" t="s">
        <v>17</v>
      </c>
      <c r="C14" s="22">
        <f ca="1">INDEX(Quincenas!$L$7:$L$30,Q_Activa)</f>
        <v>0</v>
      </c>
      <c r="D14" s="19">
        <f t="shared" ca="1" si="0"/>
        <v>0</v>
      </c>
      <c r="E14" s="20" t="s">
        <v>18</v>
      </c>
    </row>
    <row r="15" spans="1:5" x14ac:dyDescent="0.25">
      <c r="B15" s="21" t="s">
        <v>19</v>
      </c>
      <c r="C15" s="22">
        <f ca="1">INDEX(Quincenas!$M$7:$M$30,Q_Activa)</f>
        <v>0</v>
      </c>
      <c r="D15" s="19">
        <f t="shared" ca="1" si="0"/>
        <v>0</v>
      </c>
      <c r="E15" s="20" t="s">
        <v>20</v>
      </c>
    </row>
    <row r="16" spans="1:5" x14ac:dyDescent="0.25">
      <c r="B16" s="16" t="s">
        <v>21</v>
      </c>
      <c r="C16" s="18">
        <f ca="1">INDEX(Quincenas!$N$7:$N$30,Q_Activa)</f>
        <v>0</v>
      </c>
      <c r="D16" s="19">
        <f t="shared" ca="1" si="0"/>
        <v>0</v>
      </c>
      <c r="E16" s="20" t="s">
        <v>22</v>
      </c>
    </row>
    <row r="17" spans="2:5" x14ac:dyDescent="0.25">
      <c r="B17" s="16" t="s">
        <v>23</v>
      </c>
      <c r="C17" s="18">
        <f ca="1">INDEX(Quincenas!$P$7:$P$30,Q_Activa)</f>
        <v>8500</v>
      </c>
      <c r="D17" s="19">
        <f t="shared" ca="1" si="0"/>
        <v>1</v>
      </c>
      <c r="E17" s="20" t="s">
        <v>24</v>
      </c>
    </row>
    <row r="18" spans="2:5" ht="24" x14ac:dyDescent="0.25">
      <c r="B18" s="16" t="s">
        <v>25</v>
      </c>
      <c r="C18" s="18">
        <f ca="1">INDEX(Quincenas!$Q$7:$Q$30,Q_Activa)</f>
        <v>2100</v>
      </c>
      <c r="D18" s="19">
        <f t="shared" ca="1" si="0"/>
        <v>0.24705882352941178</v>
      </c>
      <c r="E18" s="20" t="s">
        <v>26</v>
      </c>
    </row>
    <row r="19" spans="2:5" x14ac:dyDescent="0.25">
      <c r="B19" s="16" t="s">
        <v>27</v>
      </c>
      <c r="C19" s="23">
        <f ca="1">INDEX(Quincenas!$R$7:$R$30,Q_Activa)</f>
        <v>0</v>
      </c>
      <c r="D19" s="19">
        <f>IF(Umbral_Gasto=0,"",Umbral_Gasto)</f>
        <v>0.8</v>
      </c>
      <c r="E19" s="20" t="s">
        <v>28</v>
      </c>
    </row>
    <row r="20" spans="2:5" ht="21.75" customHeight="1" x14ac:dyDescent="0.25">
      <c r="B20" s="16" t="s">
        <v>29</v>
      </c>
      <c r="C20" s="10" t="str">
        <f ca="1">INDEX(Quincenas!$S$7:$S$30,Q_Activa)</f>
        <v>En orden</v>
      </c>
      <c r="D20" s="10"/>
      <c r="E20" s="20" t="s">
        <v>30</v>
      </c>
    </row>
    <row r="22" spans="2:5" ht="19.5" customHeight="1" x14ac:dyDescent="0.25">
      <c r="B22" s="11" t="s">
        <v>31</v>
      </c>
      <c r="C22" s="11"/>
      <c r="D22" s="11"/>
      <c r="E22" s="11"/>
    </row>
    <row r="23" spans="2:5" ht="16.5" customHeight="1" x14ac:dyDescent="0.25">
      <c r="B23" s="9" t="str">
        <f ca="1">IF($C$10=0,"URGENTE: no has puesto el ingreso de esta quincena. Ve a la hoja Quincenas, columna G, y escríbelo.","")</f>
        <v/>
      </c>
      <c r="C23" s="9"/>
      <c r="D23" s="9"/>
      <c r="E23" s="9"/>
    </row>
    <row r="24" spans="2:5" ht="16.5" customHeight="1" x14ac:dyDescent="0.25">
      <c r="B24" s="9" t="str">
        <f ca="1">IF($C$16&gt;$C$10,"URGENTE: te pasaste del disponible por C$"&amp;TEXT($C$16-$C$10,"#,##0.00")&amp;". Frena los gastos variables o ajusta lo que apartaste para ahorro.","")</f>
        <v/>
      </c>
      <c r="C24" s="9"/>
      <c r="D24" s="9"/>
      <c r="E24" s="9"/>
    </row>
    <row r="25" spans="2:5" ht="16.5" customHeight="1" x14ac:dyDescent="0.25">
      <c r="B25" s="9" t="str">
        <f ca="1">IF(AND($C$10&gt;0,$C$16&lt;=$C$10,$C$19&gt;=Umbral_Gasto),"AVISO: ya usaste el "&amp;TEXT($C$19,"0%")&amp;" de tu disponible y aún faltan "&amp;TEXT(MAX(0,INDEX(Quincenas!$F$7:$F$30,Q_Activa)-TODAY()),"0")&amp;" día(s) de quincena. Te quedan C$"&amp;TEXT($C$17,"#,##0.00")&amp;".","")</f>
        <v/>
      </c>
      <c r="C25" s="9"/>
      <c r="D25" s="9"/>
      <c r="E25" s="9"/>
    </row>
    <row r="26" spans="2:5" ht="16.5" customHeight="1" x14ac:dyDescent="0.25">
      <c r="B26" s="9" t="str">
        <f ca="1">IF(AND($C$10&gt;0,$C$18&lt;0),"URGENTE: lo que te queda no alcanza para los fijos que faltan por pagar. Te faltan C$"&amp;TEXT(-$C$18,"#,##0.00")&amp;".","")</f>
        <v/>
      </c>
      <c r="C26" s="9"/>
      <c r="D26" s="9"/>
      <c r="E26" s="9"/>
    </row>
    <row r="27" spans="2:5" ht="16.5" customHeight="1" x14ac:dyDescent="0.25">
      <c r="B27" s="9" t="str">
        <f ca="1">IF(Control!$D$36&gt;0,"URGENTE: tienes "&amp;TEXT(Control!$D$36,"0")&amp;" pago(s) fijo(s) vencido(s) sin registrar. Revísalos en la hoja Control.","")</f>
        <v>URGENTE: tienes 1 pago(s) fijo(s) vencido(s) sin registrar. Revísalos en la hoja Control.</v>
      </c>
      <c r="C27" s="9"/>
      <c r="D27" s="9"/>
      <c r="E27" s="9"/>
    </row>
    <row r="28" spans="2:5" ht="16.5" customHeight="1" x14ac:dyDescent="0.25">
      <c r="B28" s="9" t="str">
        <f ca="1">IF(Control!$D$37&gt;0,"AVISO: "&amp;TEXT(Control!$D$37,"0")&amp;" pago(s) fijo(s) vencen dentro de los próximos "&amp;TEXT(Dias_Aviso,"0")&amp;" días. Déjalos listos.","")</f>
        <v>AVISO: 4 pago(s) fijo(s) vencen dentro de los próximos 3 días. Déjalos listos.</v>
      </c>
      <c r="C28" s="9"/>
      <c r="D28" s="9"/>
      <c r="E28" s="9"/>
    </row>
    <row r="29" spans="2:5" ht="16.5" customHeight="1" x14ac:dyDescent="0.25">
      <c r="B29" s="9" t="str">
        <f ca="1">IF(COUNT(Reg_Fecha)=0,"AVISO: todavía no has registrado ningún movimiento en la hoja Registro.",IF(TODAY()-MAX(Reg_Fecha)&gt;Dias_Sin_Registro,"AVISO: hace "&amp;TEXT(TODAY()-MAX(Reg_Fecha),"0")&amp;" días que no registras un gasto. Es muy probable que se te haya olvidado anotar algo.",""))</f>
        <v>AVISO: todavía no has registrado ningún movimiento en la hoja Registro.</v>
      </c>
      <c r="C29" s="9"/>
      <c r="D29" s="9"/>
      <c r="E29" s="9"/>
    </row>
    <row r="30" spans="2:5" ht="16.5" customHeight="1" x14ac:dyDescent="0.25">
      <c r="B30" s="9" t="str">
        <f ca="1">IF(COUNTIFS(Reg_Estado,"Pendiente",Reg_Quincena,Q_Activa)&gt;0,"AVISO: hay "&amp;TEXT(COUNTIFS(Reg_Estado,"Pendiente",Reg_Quincena,Q_Activa),"0")&amp;" movimiento(s) de esta quincena marcados como Pendiente. Confirma si ya los pagaste.","")</f>
        <v/>
      </c>
      <c r="C30" s="9"/>
      <c r="D30" s="9"/>
      <c r="E30" s="9"/>
    </row>
    <row r="31" spans="2:5" ht="16.5" customHeight="1" x14ac:dyDescent="0.25">
      <c r="B31" s="9" t="str">
        <f ca="1">IF(SUM(Quincenas!$T$7:$T$30)&gt;0,"AVISO: en el año hay "&amp;TEXT(SUM(Quincenas!$T$7:$T$30),"0")&amp;" pago(s) fijo(s) de quincenas ya cerradas que nunca registraste. Míralos en la hoja Historial.","")</f>
        <v/>
      </c>
      <c r="C31" s="9"/>
      <c r="D31" s="9"/>
      <c r="E31" s="9"/>
    </row>
    <row r="32" spans="2:5" ht="16.5" customHeight="1" x14ac:dyDescent="0.25">
      <c r="B32" s="9" t="str">
        <f>IF(COUNTIF(Registro!$L$7:$L$402,"Falta*")+COUNTIF(Registro!$L$7:$L$402,"La fecha*")+COUNTIF(Registro!$L$7:$L$402,"El concepto*")&gt;0,"AVISO: hay "&amp;TEXT(COUNTIF(Registro!$L$7:$L$402,"Falta*")+COUNTIF(Registro!$L$7:$L$402,"La fecha*")+COUNTIF(Registro!$L$7:$L$402,"El concepto*"),"0")&amp;" fila(s) del Registro con datos incompletos. Revisa la columna Revisión automática.","")</f>
        <v/>
      </c>
      <c r="C32" s="9"/>
      <c r="D32" s="9"/>
      <c r="E32" s="9"/>
    </row>
    <row r="33" spans="2:5" ht="16.5" customHeight="1" x14ac:dyDescent="0.25">
      <c r="B33" s="9" t="str">
        <f ca="1">IF(Meta_Ahorro&gt;0,IF($C$15&gt;=Meta_Ahorro,"OK: ya cumpliste tu meta de ahorro de la quincena (C$"&amp;TEXT(Meta_Ahorro,"#,##0.00")&amp;").","INFO: te faltan C$"&amp;TEXT(MAX(0,Meta_Ahorro-$C$15),"#,##0.00")&amp;" para tu meta de ahorro de esta quincena."),"")</f>
        <v>INFO: te faltan C$1,500.00 para tu meta de ahorro de esta quincena.</v>
      </c>
      <c r="C33" s="9"/>
      <c r="D33" s="9"/>
      <c r="E33" s="9"/>
    </row>
    <row r="34" spans="2:5" ht="16.5" customHeight="1" x14ac:dyDescent="0.25">
      <c r="B34" s="9" t="str">
        <f ca="1">IF(COUNTBLANK($B$23:$B$33)=11,"OK: todo en orden en esta quincena. Sigue registrando tus gastos el mismo día que los haces.","")</f>
        <v/>
      </c>
      <c r="C34" s="9"/>
      <c r="D34" s="9"/>
      <c r="E34" s="9"/>
    </row>
    <row r="36" spans="2:5" ht="19.5" customHeight="1" x14ac:dyDescent="0.25">
      <c r="B36" s="11" t="s">
        <v>32</v>
      </c>
      <c r="C36" s="11"/>
      <c r="D36" s="11"/>
      <c r="E36" s="11"/>
    </row>
    <row r="37" spans="2:5" x14ac:dyDescent="0.25">
      <c r="B37" s="16" t="s">
        <v>33</v>
      </c>
      <c r="C37" s="24">
        <f>SUM(Quincenas!$I$7:$I$30)</f>
        <v>204000</v>
      </c>
      <c r="D37" s="25"/>
      <c r="E37" s="20" t="s">
        <v>34</v>
      </c>
    </row>
    <row r="38" spans="2:5" x14ac:dyDescent="0.25">
      <c r="B38" s="21" t="s">
        <v>35</v>
      </c>
      <c r="C38" s="24">
        <f>SUM(Quincenas!$K$7:$K$30)</f>
        <v>0</v>
      </c>
      <c r="D38" s="25"/>
      <c r="E38" s="20"/>
    </row>
    <row r="39" spans="2:5" x14ac:dyDescent="0.25">
      <c r="B39" s="21" t="s">
        <v>17</v>
      </c>
      <c r="C39" s="24">
        <f>SUM(Quincenas!$L$7:$L$30)</f>
        <v>0</v>
      </c>
      <c r="D39" s="25"/>
      <c r="E39" s="20"/>
    </row>
    <row r="40" spans="2:5" x14ac:dyDescent="0.25">
      <c r="B40" s="21" t="s">
        <v>36</v>
      </c>
      <c r="C40" s="24">
        <f>SUM(Quincenas!$M$7:$M$30)</f>
        <v>0</v>
      </c>
      <c r="D40" s="25"/>
      <c r="E40" s="20" t="s">
        <v>37</v>
      </c>
    </row>
    <row r="41" spans="2:5" x14ac:dyDescent="0.25">
      <c r="B41" s="16" t="s">
        <v>21</v>
      </c>
      <c r="C41" s="24">
        <f>SUM(Quincenas!$N$7:$N$30)</f>
        <v>0</v>
      </c>
      <c r="D41" s="25"/>
      <c r="E41" s="20"/>
    </row>
    <row r="42" spans="2:5" x14ac:dyDescent="0.25">
      <c r="B42" s="16" t="s">
        <v>38</v>
      </c>
      <c r="C42" s="24">
        <f>$C$37-$C$41</f>
        <v>204000</v>
      </c>
      <c r="D42" s="25"/>
      <c r="E42" s="20" t="s">
        <v>39</v>
      </c>
    </row>
    <row r="43" spans="2:5" x14ac:dyDescent="0.25">
      <c r="B43" s="21" t="s">
        <v>40</v>
      </c>
      <c r="C43" s="26">
        <f>IF($C$37=0,0,$C$40/$C$37)</f>
        <v>0</v>
      </c>
      <c r="D43" s="25"/>
      <c r="E43" s="20" t="s">
        <v>41</v>
      </c>
    </row>
    <row r="44" spans="2:5" x14ac:dyDescent="0.25">
      <c r="B44" s="21" t="s">
        <v>42</v>
      </c>
      <c r="C44" s="27">
        <f>COUNTIF(Quincenas!$S$7:$S$30,"Sobregiro")</f>
        <v>0</v>
      </c>
      <c r="D44" s="25"/>
      <c r="E44" s="20" t="s">
        <v>43</v>
      </c>
    </row>
    <row r="45" spans="2:5" x14ac:dyDescent="0.25">
      <c r="B45" s="21" t="s">
        <v>44</v>
      </c>
      <c r="C45" s="27">
        <f ca="1">SUM(Quincenas!$T$7:$T$30)</f>
        <v>0</v>
      </c>
      <c r="D45" s="25"/>
      <c r="E45" s="20" t="s">
        <v>45</v>
      </c>
    </row>
    <row r="47" spans="2:5" ht="19.5" customHeight="1" x14ac:dyDescent="0.25">
      <c r="B47" s="11" t="s">
        <v>46</v>
      </c>
      <c r="C47" s="11"/>
      <c r="D47" s="11"/>
      <c r="E47" s="11"/>
    </row>
    <row r="48" spans="2:5" x14ac:dyDescent="0.25">
      <c r="B48" s="8" t="s">
        <v>47</v>
      </c>
      <c r="C48" s="8"/>
      <c r="D48" s="8"/>
      <c r="E48" s="8"/>
    </row>
    <row r="49" spans="2:5" x14ac:dyDescent="0.25">
      <c r="B49" s="8" t="s">
        <v>48</v>
      </c>
      <c r="C49" s="8"/>
      <c r="D49" s="8"/>
      <c r="E49" s="8"/>
    </row>
    <row r="50" spans="2:5" x14ac:dyDescent="0.25">
      <c r="B50" s="8" t="s">
        <v>49</v>
      </c>
      <c r="C50" s="8"/>
      <c r="D50" s="8"/>
      <c r="E50" s="8"/>
    </row>
    <row r="51" spans="2:5" x14ac:dyDescent="0.25">
      <c r="B51" s="8" t="s">
        <v>50</v>
      </c>
      <c r="C51" s="8"/>
      <c r="D51" s="8"/>
      <c r="E51" s="8"/>
    </row>
  </sheetData>
  <mergeCells count="26">
    <mergeCell ref="B51:E51"/>
    <mergeCell ref="B36:E36"/>
    <mergeCell ref="B47:E47"/>
    <mergeCell ref="B48:E48"/>
    <mergeCell ref="B49:E49"/>
    <mergeCell ref="B50:E50"/>
    <mergeCell ref="B30:E30"/>
    <mergeCell ref="B31:E31"/>
    <mergeCell ref="B32:E32"/>
    <mergeCell ref="B33:E33"/>
    <mergeCell ref="B34:E34"/>
    <mergeCell ref="B25:E25"/>
    <mergeCell ref="B26:E26"/>
    <mergeCell ref="B27:E27"/>
    <mergeCell ref="B28:E28"/>
    <mergeCell ref="B29:E29"/>
    <mergeCell ref="B8:E8"/>
    <mergeCell ref="C20:D20"/>
    <mergeCell ref="B22:E22"/>
    <mergeCell ref="B23:E23"/>
    <mergeCell ref="B24:E24"/>
    <mergeCell ref="A1:E1"/>
    <mergeCell ref="A2:E2"/>
    <mergeCell ref="C4:E4"/>
    <mergeCell ref="C5:E5"/>
    <mergeCell ref="C6:E6"/>
  </mergeCells>
  <conditionalFormatting sqref="B23:E34">
    <cfRule type="expression" dxfId="46" priority="12">
      <formula>LEFT($B23,7)="URGENTE"</formula>
    </cfRule>
    <cfRule type="expression" dxfId="45" priority="13">
      <formula>LEFT($B23,5)="AVISO"</formula>
    </cfRule>
    <cfRule type="expression" dxfId="44" priority="14">
      <formula>LEFT($B23,2)="OK"</formula>
    </cfRule>
    <cfRule type="expression" dxfId="43" priority="15">
      <formula>LEFT($B23,4)="INFO"</formula>
    </cfRule>
  </conditionalFormatting>
  <conditionalFormatting sqref="C17:C18">
    <cfRule type="cellIs" dxfId="42" priority="2" operator="lessThan">
      <formula>0</formula>
    </cfRule>
    <cfRule type="cellIs" dxfId="41" priority="3" operator="greaterThanOrEqual">
      <formula>0</formula>
    </cfRule>
  </conditionalFormatting>
  <conditionalFormatting sqref="C19">
    <cfRule type="expression" dxfId="40" priority="4">
      <formula>$C$19&gt;1</formula>
    </cfRule>
    <cfRule type="expression" dxfId="39" priority="5">
      <formula>AND($C$19&lt;=1,$C$19&gt;=Umbral_Gasto)</formula>
    </cfRule>
    <cfRule type="expression" dxfId="38" priority="6">
      <formula>$C$19&lt;Umbral_Gasto</formula>
    </cfRule>
  </conditionalFormatting>
  <conditionalFormatting sqref="C42">
    <cfRule type="cellIs" dxfId="37" priority="17" operator="lessThan">
      <formula>0</formula>
    </cfRule>
  </conditionalFormatting>
  <conditionalFormatting sqref="C44:C45">
    <cfRule type="cellIs" dxfId="36" priority="16" operator="greaterThan">
      <formula>0</formula>
    </cfRule>
  </conditionalFormatting>
  <conditionalFormatting sqref="C20:D20">
    <cfRule type="expression" dxfId="35" priority="7">
      <formula>$C$20="Sobregiro"</formula>
    </cfRule>
    <cfRule type="expression" dxfId="34" priority="8">
      <formula>$C$20="No alcanza para los fijos"</formula>
    </cfRule>
    <cfRule type="expression" dxfId="33" priority="9">
      <formula>$C$20="Cerca del límite"</formula>
    </cfRule>
    <cfRule type="expression" dxfId="32" priority="10">
      <formula>$C$20="En orden"</formula>
    </cfRule>
    <cfRule type="expression" dxfId="31" priority="11">
      <formula>$C$20="Sin ingreso definido"</formula>
    </cfRule>
  </conditionalFormatting>
  <printOptions horizontalCentered="1"/>
  <pageMargins left="0.75" right="0.75" top="1" bottom="1" header="0.511811023622047" footer="0.511811023622047"/>
  <pageSetup fitToHeight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F7F7F"/>
    <pageSetUpPr fitToPage="1"/>
  </sheetPr>
  <dimension ref="A1:D34"/>
  <sheetViews>
    <sheetView showGridLines="0" zoomScaleNormal="100" workbookViewId="0">
      <pane ySplit="3" topLeftCell="A4" activePane="bottomLeft" state="frozen"/>
      <selection pane="bottomLeft" activeCell="C16" sqref="C16"/>
    </sheetView>
  </sheetViews>
  <sheetFormatPr baseColWidth="10" defaultColWidth="8.7109375" defaultRowHeight="15" x14ac:dyDescent="0.25"/>
  <cols>
    <col min="1" max="1" width="4" customWidth="1"/>
    <col min="2" max="2" width="50" customWidth="1"/>
    <col min="3" max="3" width="26" customWidth="1"/>
    <col min="4" max="4" width="60" customWidth="1"/>
  </cols>
  <sheetData>
    <row r="1" spans="1:4" ht="27.75" customHeight="1" x14ac:dyDescent="0.25">
      <c r="A1" s="7" t="s">
        <v>51</v>
      </c>
      <c r="B1" s="7"/>
      <c r="C1" s="7"/>
      <c r="D1" s="7"/>
    </row>
    <row r="2" spans="1:4" x14ac:dyDescent="0.25">
      <c r="B2" s="28" t="s">
        <v>52</v>
      </c>
    </row>
    <row r="4" spans="1:4" ht="19.5" customHeight="1" x14ac:dyDescent="0.25">
      <c r="B4" s="11" t="s">
        <v>53</v>
      </c>
      <c r="C4" s="11"/>
      <c r="D4" s="11"/>
    </row>
    <row r="5" spans="1:4" ht="25.5" customHeight="1" x14ac:dyDescent="0.25">
      <c r="B5" s="16" t="s">
        <v>54</v>
      </c>
      <c r="C5" s="29" t="s">
        <v>270</v>
      </c>
      <c r="D5" s="20" t="s">
        <v>55</v>
      </c>
    </row>
    <row r="6" spans="1:4" ht="25.5" customHeight="1" x14ac:dyDescent="0.25">
      <c r="B6" s="16" t="s">
        <v>56</v>
      </c>
      <c r="C6" s="30">
        <v>2026</v>
      </c>
      <c r="D6" s="20" t="s">
        <v>57</v>
      </c>
    </row>
    <row r="7" spans="1:4" ht="25.5" customHeight="1" x14ac:dyDescent="0.25">
      <c r="B7" s="21" t="s">
        <v>58</v>
      </c>
      <c r="C7" s="31" t="s">
        <v>59</v>
      </c>
      <c r="D7" s="20" t="s">
        <v>60</v>
      </c>
    </row>
    <row r="8" spans="1:4" ht="25.5" customHeight="1" x14ac:dyDescent="0.25">
      <c r="B8" s="16" t="s">
        <v>61</v>
      </c>
      <c r="C8" s="30">
        <v>0</v>
      </c>
      <c r="D8" s="20" t="s">
        <v>62</v>
      </c>
    </row>
    <row r="9" spans="1:4" ht="25.5" customHeight="1" x14ac:dyDescent="0.25">
      <c r="B9" s="21" t="s">
        <v>63</v>
      </c>
      <c r="C9" s="32">
        <f ca="1">IFERROR(MATCH(TODAY(),Quincenas!$E$7:$E$30,1),1)</f>
        <v>16</v>
      </c>
      <c r="D9" s="20" t="s">
        <v>64</v>
      </c>
    </row>
    <row r="10" spans="1:4" ht="25.5" customHeight="1" x14ac:dyDescent="0.25">
      <c r="B10" s="21" t="s">
        <v>65</v>
      </c>
      <c r="C10" s="32">
        <f ca="1">IF($C$8=0,$C$9,$C$8)</f>
        <v>16</v>
      </c>
      <c r="D10" s="20" t="s">
        <v>66</v>
      </c>
    </row>
    <row r="11" spans="1:4" ht="25.5" customHeight="1" x14ac:dyDescent="0.25">
      <c r="B11" s="21" t="s">
        <v>67</v>
      </c>
      <c r="C11" s="33">
        <f ca="1">TODAY()</f>
        <v>46265</v>
      </c>
      <c r="D11" s="20" t="s">
        <v>68</v>
      </c>
    </row>
    <row r="12" spans="1:4" ht="25.5" customHeight="1" x14ac:dyDescent="0.25">
      <c r="B12" s="16" t="s">
        <v>69</v>
      </c>
      <c r="C12" s="34">
        <v>46266</v>
      </c>
      <c r="D12" s="20" t="s">
        <v>70</v>
      </c>
    </row>
    <row r="13" spans="1:4" ht="19.5" customHeight="1" x14ac:dyDescent="0.25">
      <c r="B13" s="11" t="s">
        <v>71</v>
      </c>
      <c r="C13" s="11"/>
      <c r="D13" s="11"/>
    </row>
    <row r="14" spans="1:4" ht="25.5" customHeight="1" x14ac:dyDescent="0.25">
      <c r="B14" s="16" t="s">
        <v>72</v>
      </c>
      <c r="C14" s="35">
        <v>0.8</v>
      </c>
      <c r="D14" s="20" t="s">
        <v>73</v>
      </c>
    </row>
    <row r="15" spans="1:4" ht="25.5" customHeight="1" x14ac:dyDescent="0.25">
      <c r="B15" s="16" t="s">
        <v>74</v>
      </c>
      <c r="C15" s="36">
        <v>3</v>
      </c>
      <c r="D15" s="20" t="s">
        <v>75</v>
      </c>
    </row>
    <row r="16" spans="1:4" ht="25.5" customHeight="1" x14ac:dyDescent="0.25">
      <c r="B16" s="16" t="s">
        <v>76</v>
      </c>
      <c r="C16" s="36">
        <v>5</v>
      </c>
      <c r="D16" s="20" t="s">
        <v>77</v>
      </c>
    </row>
    <row r="17" spans="2:4" ht="25.5" customHeight="1" x14ac:dyDescent="0.25">
      <c r="B17" s="16" t="s">
        <v>78</v>
      </c>
      <c r="C17" s="37">
        <v>1500</v>
      </c>
      <c r="D17" s="20" t="s">
        <v>79</v>
      </c>
    </row>
    <row r="18" spans="2:4" x14ac:dyDescent="0.25">
      <c r="B18" s="21" t="s">
        <v>80</v>
      </c>
      <c r="C18" s="38">
        <f>$C$17*24</f>
        <v>36000</v>
      </c>
      <c r="D18" s="20" t="s">
        <v>81</v>
      </c>
    </row>
    <row r="20" spans="2:4" ht="19.5" customHeight="1" x14ac:dyDescent="0.25">
      <c r="B20" s="11" t="s">
        <v>82</v>
      </c>
      <c r="C20" s="11"/>
      <c r="D20" s="11"/>
    </row>
    <row r="21" spans="2:4" x14ac:dyDescent="0.25">
      <c r="B21" s="39" t="s">
        <v>83</v>
      </c>
      <c r="C21" s="40"/>
      <c r="D21" s="20" t="s">
        <v>84</v>
      </c>
    </row>
    <row r="22" spans="2:4" x14ac:dyDescent="0.25">
      <c r="B22" s="41" t="s">
        <v>85</v>
      </c>
      <c r="C22" s="42"/>
      <c r="D22" s="20" t="s">
        <v>86</v>
      </c>
    </row>
    <row r="23" spans="2:4" x14ac:dyDescent="0.25">
      <c r="B23" s="43" t="s">
        <v>87</v>
      </c>
      <c r="C23" s="44"/>
      <c r="D23" s="20" t="s">
        <v>88</v>
      </c>
    </row>
    <row r="24" spans="2:4" x14ac:dyDescent="0.25">
      <c r="B24" s="45" t="s">
        <v>89</v>
      </c>
      <c r="C24" s="46"/>
      <c r="D24" s="20" t="s">
        <v>90</v>
      </c>
    </row>
    <row r="25" spans="2:4" x14ac:dyDescent="0.25">
      <c r="B25" s="47" t="s">
        <v>91</v>
      </c>
      <c r="C25" s="48"/>
      <c r="D25" s="20" t="s">
        <v>92</v>
      </c>
    </row>
    <row r="27" spans="2:4" ht="19.5" customHeight="1" x14ac:dyDescent="0.25">
      <c r="B27" s="11" t="s">
        <v>93</v>
      </c>
      <c r="C27" s="11"/>
      <c r="D27" s="11"/>
    </row>
    <row r="28" spans="2:4" x14ac:dyDescent="0.25">
      <c r="B28" s="8" t="s">
        <v>94</v>
      </c>
      <c r="C28" s="8"/>
      <c r="D28" s="8"/>
    </row>
    <row r="29" spans="2:4" x14ac:dyDescent="0.25">
      <c r="B29" s="8" t="s">
        <v>95</v>
      </c>
      <c r="C29" s="8"/>
      <c r="D29" s="8"/>
    </row>
    <row r="30" spans="2:4" x14ac:dyDescent="0.25">
      <c r="B30" s="8" t="s">
        <v>96</v>
      </c>
      <c r="C30" s="8"/>
      <c r="D30" s="8"/>
    </row>
    <row r="31" spans="2:4" x14ac:dyDescent="0.25">
      <c r="B31" s="8" t="s">
        <v>97</v>
      </c>
      <c r="C31" s="8"/>
      <c r="D31" s="8"/>
    </row>
    <row r="32" spans="2:4" x14ac:dyDescent="0.25">
      <c r="B32" s="8" t="s">
        <v>98</v>
      </c>
      <c r="C32" s="8"/>
      <c r="D32" s="8"/>
    </row>
    <row r="33" spans="2:4" x14ac:dyDescent="0.25">
      <c r="B33" s="8" t="s">
        <v>99</v>
      </c>
      <c r="C33" s="8"/>
      <c r="D33" s="8"/>
    </row>
    <row r="34" spans="2:4" x14ac:dyDescent="0.25">
      <c r="B34" s="8" t="s">
        <v>100</v>
      </c>
      <c r="C34" s="8"/>
      <c r="D34" s="8"/>
    </row>
  </sheetData>
  <mergeCells count="12">
    <mergeCell ref="B33:D33"/>
    <mergeCell ref="B34:D34"/>
    <mergeCell ref="B28:D28"/>
    <mergeCell ref="B29:D29"/>
    <mergeCell ref="B30:D30"/>
    <mergeCell ref="B31:D31"/>
    <mergeCell ref="B32:D32"/>
    <mergeCell ref="A1:D1"/>
    <mergeCell ref="B4:D4"/>
    <mergeCell ref="B13:D13"/>
    <mergeCell ref="B20:D20"/>
    <mergeCell ref="B27:D27"/>
  </mergeCells>
  <dataValidations count="1">
    <dataValidation type="whole" showErrorMessage="1" errorTitle="Valor no válido" error="Escribe 0 (automático) o un número del 1 al 24." sqref="C8" xr:uid="{00000000-0002-0000-0100-000000000000}">
      <formula1>0</formula1>
      <formula2>24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5597"/>
    <pageSetUpPr fitToPage="1"/>
  </sheetPr>
  <dimension ref="A1:T31"/>
  <sheetViews>
    <sheetView showGridLines="0" zoomScale="115" zoomScaleNormal="11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I16" sqref="I16"/>
    </sheetView>
  </sheetViews>
  <sheetFormatPr baseColWidth="10" defaultColWidth="8.7109375" defaultRowHeight="15" x14ac:dyDescent="0.25"/>
  <cols>
    <col min="1" max="1" width="5" customWidth="1"/>
    <col min="2" max="2" width="12" customWidth="1"/>
    <col min="3" max="3" width="6" customWidth="1"/>
    <col min="4" max="4" width="9" customWidth="1"/>
    <col min="5" max="6" width="11" customWidth="1"/>
    <col min="7" max="7" width="14" customWidth="1"/>
    <col min="8" max="8" width="12" customWidth="1"/>
    <col min="9" max="9" width="13" customWidth="1"/>
    <col min="10" max="10" width="14" customWidth="1"/>
    <col min="11" max="13" width="12" customWidth="1"/>
    <col min="14" max="14" width="13" customWidth="1"/>
    <col min="15" max="15" width="12" customWidth="1"/>
    <col min="16" max="17" width="13" customWidth="1"/>
    <col min="18" max="18" width="10" customWidth="1"/>
    <col min="19" max="19" width="24" customWidth="1"/>
    <col min="20" max="20" width="10" customWidth="1"/>
  </cols>
  <sheetData>
    <row r="1" spans="1:20" ht="27.75" customHeight="1" x14ac:dyDescent="0.25">
      <c r="A1" s="7" t="s">
        <v>101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</row>
    <row r="2" spans="1:20" x14ac:dyDescent="0.25">
      <c r="A2" s="28" t="s">
        <v>102</v>
      </c>
    </row>
    <row r="3" spans="1:20" x14ac:dyDescent="0.25">
      <c r="A3" s="28" t="s">
        <v>103</v>
      </c>
    </row>
    <row r="6" spans="1:20" ht="48" customHeight="1" x14ac:dyDescent="0.25">
      <c r="A6" s="17" t="s">
        <v>104</v>
      </c>
      <c r="B6" s="17" t="s">
        <v>105</v>
      </c>
      <c r="C6" s="17" t="s">
        <v>106</v>
      </c>
      <c r="D6" s="17" t="s">
        <v>107</v>
      </c>
      <c r="E6" s="17" t="s">
        <v>108</v>
      </c>
      <c r="F6" s="17" t="s">
        <v>109</v>
      </c>
      <c r="G6" s="17" t="s">
        <v>110</v>
      </c>
      <c r="H6" s="17" t="s">
        <v>111</v>
      </c>
      <c r="I6" s="17" t="s">
        <v>112</v>
      </c>
      <c r="J6" s="17" t="s">
        <v>113</v>
      </c>
      <c r="K6" s="17" t="s">
        <v>114</v>
      </c>
      <c r="L6" s="17" t="s">
        <v>115</v>
      </c>
      <c r="M6" s="17" t="s">
        <v>116</v>
      </c>
      <c r="N6" s="17" t="s">
        <v>117</v>
      </c>
      <c r="O6" s="17" t="s">
        <v>118</v>
      </c>
      <c r="P6" s="17" t="s">
        <v>119</v>
      </c>
      <c r="Q6" s="17" t="s">
        <v>120</v>
      </c>
      <c r="R6" s="17" t="s">
        <v>121</v>
      </c>
      <c r="S6" s="17" t="s">
        <v>122</v>
      </c>
      <c r="T6" s="17" t="s">
        <v>123</v>
      </c>
    </row>
    <row r="7" spans="1:20" x14ac:dyDescent="0.25">
      <c r="A7" s="49">
        <v>1</v>
      </c>
      <c r="B7" s="21" t="s">
        <v>124</v>
      </c>
      <c r="C7" s="50">
        <v>1</v>
      </c>
      <c r="D7" s="31" t="s">
        <v>125</v>
      </c>
      <c r="E7" s="33">
        <f t="shared" ref="E7:E30" si="0">DATE(Anio,$C7,IF($D7="Q1",1,16))</f>
        <v>46023</v>
      </c>
      <c r="F7" s="33">
        <f t="shared" ref="F7:F30" si="1">IF($D7="Q1",DATE(Anio,$C7,15),DATE(Anio,$C7+1,0))</f>
        <v>46037</v>
      </c>
      <c r="G7" s="51">
        <v>8500</v>
      </c>
      <c r="H7" s="52">
        <f t="shared" ref="H7:H30" si="2">SUMIFS(Reg_Monto,Reg_Quincena,$A7,Reg_Tipo,"Ingreso extra")</f>
        <v>0</v>
      </c>
      <c r="I7" s="53">
        <f t="shared" ref="I7:I30" si="3">$G7+$H7</f>
        <v>8500</v>
      </c>
      <c r="J7" s="52">
        <f t="shared" ref="J7:J30" si="4">SUMIFS(Fijos_Monto,Fijos_Activo,"Sí",Fijos_Aplica,$D7)+SUMIFS(Fijos_Monto,Fijos_Activo,"Sí",Fijos_Aplica,"Ambas")</f>
        <v>5700</v>
      </c>
      <c r="K7" s="52">
        <f t="shared" ref="K7:K30" si="5">SUMIFS(Reg_Monto,Reg_Quincena,$A7,Reg_Tipo,"Fijo")</f>
        <v>0</v>
      </c>
      <c r="L7" s="52">
        <f t="shared" ref="L7:L30" si="6">SUMIFS(Reg_Monto,Reg_Quincena,$A7,Reg_Tipo,"Variable")</f>
        <v>0</v>
      </c>
      <c r="M7" s="52">
        <f t="shared" ref="M7:M30" si="7">SUMIFS(Reg_Monto,Reg_Quincena,$A7,Reg_Tipo,"Ahorro")</f>
        <v>0</v>
      </c>
      <c r="N7" s="53">
        <f t="shared" ref="N7:N30" si="8">$K7+$L7+$M7</f>
        <v>0</v>
      </c>
      <c r="O7" s="52">
        <f t="shared" ref="O7:O30" si="9">MAX(0,$J7-$K7)</f>
        <v>5700</v>
      </c>
      <c r="P7" s="53">
        <f t="shared" ref="P7:P30" si="10">$I7-$N7</f>
        <v>8500</v>
      </c>
      <c r="Q7" s="52">
        <f t="shared" ref="Q7:Q30" si="11">$P7-$O7</f>
        <v>2800</v>
      </c>
      <c r="R7" s="19">
        <f t="shared" ref="R7:R31" si="12">IF($I7=0,0,$N7/$I7)</f>
        <v>0</v>
      </c>
      <c r="S7" s="49" t="str">
        <f t="shared" ref="S7:S30" si="13">IF($I7=0,"Sin ingreso definido",IF($N7&gt;$I7,"Sobregiro",IF($Q7&lt;0,"No alcanza para los fijos",IF($R7&gt;=Umbral_Gasto,"Cerca del límite","En orden"))))</f>
        <v>En orden</v>
      </c>
      <c r="T7" s="50">
        <f ca="1">INDEX(Historial!$F$32:$AC$32,1,$A7)</f>
        <v>0</v>
      </c>
    </row>
    <row r="8" spans="1:20" x14ac:dyDescent="0.25">
      <c r="A8" s="49">
        <v>2</v>
      </c>
      <c r="B8" s="21" t="s">
        <v>124</v>
      </c>
      <c r="C8" s="50">
        <v>1</v>
      </c>
      <c r="D8" s="31" t="s">
        <v>126</v>
      </c>
      <c r="E8" s="33">
        <f t="shared" si="0"/>
        <v>46038</v>
      </c>
      <c r="F8" s="33">
        <f t="shared" si="1"/>
        <v>46053</v>
      </c>
      <c r="G8" s="51">
        <v>8500</v>
      </c>
      <c r="H8" s="52">
        <f t="shared" si="2"/>
        <v>0</v>
      </c>
      <c r="I8" s="53">
        <f t="shared" si="3"/>
        <v>8500</v>
      </c>
      <c r="J8" s="52">
        <f t="shared" si="4"/>
        <v>6400</v>
      </c>
      <c r="K8" s="52">
        <f t="shared" si="5"/>
        <v>0</v>
      </c>
      <c r="L8" s="52">
        <f t="shared" si="6"/>
        <v>0</v>
      </c>
      <c r="M8" s="52">
        <f t="shared" si="7"/>
        <v>0</v>
      </c>
      <c r="N8" s="53">
        <f t="shared" si="8"/>
        <v>0</v>
      </c>
      <c r="O8" s="52">
        <f t="shared" si="9"/>
        <v>6400</v>
      </c>
      <c r="P8" s="53">
        <f t="shared" si="10"/>
        <v>8500</v>
      </c>
      <c r="Q8" s="52">
        <f t="shared" si="11"/>
        <v>2100</v>
      </c>
      <c r="R8" s="19">
        <f t="shared" si="12"/>
        <v>0</v>
      </c>
      <c r="S8" s="49" t="str">
        <f t="shared" si="13"/>
        <v>En orden</v>
      </c>
      <c r="T8" s="50">
        <f ca="1">INDEX(Historial!$F$32:$AC$32,1,$A8)</f>
        <v>0</v>
      </c>
    </row>
    <row r="9" spans="1:20" x14ac:dyDescent="0.25">
      <c r="A9" s="54">
        <v>3</v>
      </c>
      <c r="B9" s="55" t="s">
        <v>127</v>
      </c>
      <c r="C9" s="56">
        <v>2</v>
      </c>
      <c r="D9" s="57" t="s">
        <v>125</v>
      </c>
      <c r="E9" s="58">
        <f t="shared" si="0"/>
        <v>46054</v>
      </c>
      <c r="F9" s="58">
        <f t="shared" si="1"/>
        <v>46068</v>
      </c>
      <c r="G9" s="51">
        <v>8500</v>
      </c>
      <c r="H9" s="59">
        <f t="shared" si="2"/>
        <v>0</v>
      </c>
      <c r="I9" s="60">
        <f t="shared" si="3"/>
        <v>8500</v>
      </c>
      <c r="J9" s="59">
        <f t="shared" si="4"/>
        <v>5700</v>
      </c>
      <c r="K9" s="59">
        <f t="shared" si="5"/>
        <v>0</v>
      </c>
      <c r="L9" s="59">
        <f t="shared" si="6"/>
        <v>0</v>
      </c>
      <c r="M9" s="59">
        <f t="shared" si="7"/>
        <v>0</v>
      </c>
      <c r="N9" s="60">
        <f t="shared" si="8"/>
        <v>0</v>
      </c>
      <c r="O9" s="59">
        <f t="shared" si="9"/>
        <v>5700</v>
      </c>
      <c r="P9" s="60">
        <f t="shared" si="10"/>
        <v>8500</v>
      </c>
      <c r="Q9" s="59">
        <f t="shared" si="11"/>
        <v>2800</v>
      </c>
      <c r="R9" s="61">
        <f t="shared" si="12"/>
        <v>0</v>
      </c>
      <c r="S9" s="49" t="str">
        <f t="shared" si="13"/>
        <v>En orden</v>
      </c>
      <c r="T9" s="56">
        <f ca="1">INDEX(Historial!$F$32:$AC$32,1,$A9)</f>
        <v>0</v>
      </c>
    </row>
    <row r="10" spans="1:20" x14ac:dyDescent="0.25">
      <c r="A10" s="54">
        <v>4</v>
      </c>
      <c r="B10" s="55" t="s">
        <v>127</v>
      </c>
      <c r="C10" s="56">
        <v>2</v>
      </c>
      <c r="D10" s="57" t="s">
        <v>126</v>
      </c>
      <c r="E10" s="58">
        <f t="shared" si="0"/>
        <v>46069</v>
      </c>
      <c r="F10" s="58">
        <f t="shared" si="1"/>
        <v>46081</v>
      </c>
      <c r="G10" s="51">
        <v>8500</v>
      </c>
      <c r="H10" s="59">
        <f t="shared" si="2"/>
        <v>0</v>
      </c>
      <c r="I10" s="60">
        <f t="shared" si="3"/>
        <v>8500</v>
      </c>
      <c r="J10" s="59">
        <f t="shared" si="4"/>
        <v>6400</v>
      </c>
      <c r="K10" s="59">
        <f t="shared" si="5"/>
        <v>0</v>
      </c>
      <c r="L10" s="59">
        <f t="shared" si="6"/>
        <v>0</v>
      </c>
      <c r="M10" s="59">
        <f t="shared" si="7"/>
        <v>0</v>
      </c>
      <c r="N10" s="60">
        <f t="shared" si="8"/>
        <v>0</v>
      </c>
      <c r="O10" s="59">
        <f t="shared" si="9"/>
        <v>6400</v>
      </c>
      <c r="P10" s="60">
        <f t="shared" si="10"/>
        <v>8500</v>
      </c>
      <c r="Q10" s="59">
        <f t="shared" si="11"/>
        <v>2100</v>
      </c>
      <c r="R10" s="61">
        <f t="shared" si="12"/>
        <v>0</v>
      </c>
      <c r="S10" s="49" t="str">
        <f t="shared" si="13"/>
        <v>En orden</v>
      </c>
      <c r="T10" s="56">
        <f ca="1">INDEX(Historial!$F$32:$AC$32,1,$A10)</f>
        <v>0</v>
      </c>
    </row>
    <row r="11" spans="1:20" x14ac:dyDescent="0.25">
      <c r="A11" s="49">
        <v>5</v>
      </c>
      <c r="B11" s="21" t="s">
        <v>128</v>
      </c>
      <c r="C11" s="50">
        <v>3</v>
      </c>
      <c r="D11" s="31" t="s">
        <v>125</v>
      </c>
      <c r="E11" s="33">
        <f t="shared" si="0"/>
        <v>46082</v>
      </c>
      <c r="F11" s="33">
        <f t="shared" si="1"/>
        <v>46096</v>
      </c>
      <c r="G11" s="51">
        <v>8500</v>
      </c>
      <c r="H11" s="52">
        <f t="shared" si="2"/>
        <v>0</v>
      </c>
      <c r="I11" s="53">
        <f t="shared" si="3"/>
        <v>8500</v>
      </c>
      <c r="J11" s="52">
        <f t="shared" si="4"/>
        <v>5700</v>
      </c>
      <c r="K11" s="52">
        <f t="shared" si="5"/>
        <v>0</v>
      </c>
      <c r="L11" s="52">
        <f t="shared" si="6"/>
        <v>0</v>
      </c>
      <c r="M11" s="52">
        <f t="shared" si="7"/>
        <v>0</v>
      </c>
      <c r="N11" s="53">
        <f t="shared" si="8"/>
        <v>0</v>
      </c>
      <c r="O11" s="52">
        <f t="shared" si="9"/>
        <v>5700</v>
      </c>
      <c r="P11" s="53">
        <f t="shared" si="10"/>
        <v>8500</v>
      </c>
      <c r="Q11" s="52">
        <f t="shared" si="11"/>
        <v>2800</v>
      </c>
      <c r="R11" s="19">
        <f t="shared" si="12"/>
        <v>0</v>
      </c>
      <c r="S11" s="49" t="str">
        <f t="shared" si="13"/>
        <v>En orden</v>
      </c>
      <c r="T11" s="50">
        <f ca="1">INDEX(Historial!$F$32:$AC$32,1,$A11)</f>
        <v>0</v>
      </c>
    </row>
    <row r="12" spans="1:20" x14ac:dyDescent="0.25">
      <c r="A12" s="49">
        <v>6</v>
      </c>
      <c r="B12" s="21" t="s">
        <v>128</v>
      </c>
      <c r="C12" s="50">
        <v>3</v>
      </c>
      <c r="D12" s="31" t="s">
        <v>126</v>
      </c>
      <c r="E12" s="33">
        <f t="shared" si="0"/>
        <v>46097</v>
      </c>
      <c r="F12" s="33">
        <f t="shared" si="1"/>
        <v>46112</v>
      </c>
      <c r="G12" s="51">
        <v>8500</v>
      </c>
      <c r="H12" s="52">
        <f t="shared" si="2"/>
        <v>0</v>
      </c>
      <c r="I12" s="53">
        <f t="shared" si="3"/>
        <v>8500</v>
      </c>
      <c r="J12" s="52">
        <f t="shared" si="4"/>
        <v>6400</v>
      </c>
      <c r="K12" s="52">
        <f t="shared" si="5"/>
        <v>0</v>
      </c>
      <c r="L12" s="52">
        <f t="shared" si="6"/>
        <v>0</v>
      </c>
      <c r="M12" s="52">
        <f t="shared" si="7"/>
        <v>0</v>
      </c>
      <c r="N12" s="53">
        <f t="shared" si="8"/>
        <v>0</v>
      </c>
      <c r="O12" s="52">
        <f t="shared" si="9"/>
        <v>6400</v>
      </c>
      <c r="P12" s="53">
        <f t="shared" si="10"/>
        <v>8500</v>
      </c>
      <c r="Q12" s="52">
        <f t="shared" si="11"/>
        <v>2100</v>
      </c>
      <c r="R12" s="19">
        <f t="shared" si="12"/>
        <v>0</v>
      </c>
      <c r="S12" s="49" t="str">
        <f t="shared" si="13"/>
        <v>En orden</v>
      </c>
      <c r="T12" s="50">
        <f ca="1">INDEX(Historial!$F$32:$AC$32,1,$A12)</f>
        <v>0</v>
      </c>
    </row>
    <row r="13" spans="1:20" x14ac:dyDescent="0.25">
      <c r="A13" s="54">
        <v>7</v>
      </c>
      <c r="B13" s="55" t="s">
        <v>129</v>
      </c>
      <c r="C13" s="56">
        <v>4</v>
      </c>
      <c r="D13" s="57" t="s">
        <v>125</v>
      </c>
      <c r="E13" s="58">
        <f t="shared" si="0"/>
        <v>46113</v>
      </c>
      <c r="F13" s="58">
        <f t="shared" si="1"/>
        <v>46127</v>
      </c>
      <c r="G13" s="51">
        <v>8500</v>
      </c>
      <c r="H13" s="59">
        <f t="shared" si="2"/>
        <v>0</v>
      </c>
      <c r="I13" s="60">
        <f t="shared" si="3"/>
        <v>8500</v>
      </c>
      <c r="J13" s="59">
        <f t="shared" si="4"/>
        <v>5700</v>
      </c>
      <c r="K13" s="59">
        <f t="shared" si="5"/>
        <v>0</v>
      </c>
      <c r="L13" s="59">
        <f t="shared" si="6"/>
        <v>0</v>
      </c>
      <c r="M13" s="59">
        <f t="shared" si="7"/>
        <v>0</v>
      </c>
      <c r="N13" s="60">
        <f t="shared" si="8"/>
        <v>0</v>
      </c>
      <c r="O13" s="59">
        <f t="shared" si="9"/>
        <v>5700</v>
      </c>
      <c r="P13" s="60">
        <f t="shared" si="10"/>
        <v>8500</v>
      </c>
      <c r="Q13" s="59">
        <f t="shared" si="11"/>
        <v>2800</v>
      </c>
      <c r="R13" s="61">
        <f t="shared" si="12"/>
        <v>0</v>
      </c>
      <c r="S13" s="49" t="str">
        <f t="shared" si="13"/>
        <v>En orden</v>
      </c>
      <c r="T13" s="56">
        <f ca="1">INDEX(Historial!$F$32:$AC$32,1,$A13)</f>
        <v>0</v>
      </c>
    </row>
    <row r="14" spans="1:20" x14ac:dyDescent="0.25">
      <c r="A14" s="54">
        <v>8</v>
      </c>
      <c r="B14" s="55" t="s">
        <v>129</v>
      </c>
      <c r="C14" s="56">
        <v>4</v>
      </c>
      <c r="D14" s="57" t="s">
        <v>126</v>
      </c>
      <c r="E14" s="58">
        <f t="shared" si="0"/>
        <v>46128</v>
      </c>
      <c r="F14" s="58">
        <f t="shared" si="1"/>
        <v>46142</v>
      </c>
      <c r="G14" s="51">
        <v>8500</v>
      </c>
      <c r="H14" s="59">
        <f t="shared" si="2"/>
        <v>0</v>
      </c>
      <c r="I14" s="60">
        <f t="shared" si="3"/>
        <v>8500</v>
      </c>
      <c r="J14" s="59">
        <f t="shared" si="4"/>
        <v>6400</v>
      </c>
      <c r="K14" s="59">
        <f t="shared" si="5"/>
        <v>0</v>
      </c>
      <c r="L14" s="59">
        <f t="shared" si="6"/>
        <v>0</v>
      </c>
      <c r="M14" s="59">
        <f t="shared" si="7"/>
        <v>0</v>
      </c>
      <c r="N14" s="60">
        <f t="shared" si="8"/>
        <v>0</v>
      </c>
      <c r="O14" s="59">
        <f t="shared" si="9"/>
        <v>6400</v>
      </c>
      <c r="P14" s="60">
        <f t="shared" si="10"/>
        <v>8500</v>
      </c>
      <c r="Q14" s="59">
        <f t="shared" si="11"/>
        <v>2100</v>
      </c>
      <c r="R14" s="61">
        <f t="shared" si="12"/>
        <v>0</v>
      </c>
      <c r="S14" s="49" t="str">
        <f t="shared" si="13"/>
        <v>En orden</v>
      </c>
      <c r="T14" s="56">
        <f ca="1">INDEX(Historial!$F$32:$AC$32,1,$A14)</f>
        <v>0</v>
      </c>
    </row>
    <row r="15" spans="1:20" x14ac:dyDescent="0.25">
      <c r="A15" s="49">
        <v>9</v>
      </c>
      <c r="B15" s="21" t="s">
        <v>130</v>
      </c>
      <c r="C15" s="50">
        <v>5</v>
      </c>
      <c r="D15" s="31" t="s">
        <v>125</v>
      </c>
      <c r="E15" s="33">
        <f t="shared" si="0"/>
        <v>46143</v>
      </c>
      <c r="F15" s="33">
        <f t="shared" si="1"/>
        <v>46157</v>
      </c>
      <c r="G15" s="51">
        <v>8500</v>
      </c>
      <c r="H15" s="52">
        <f t="shared" si="2"/>
        <v>0</v>
      </c>
      <c r="I15" s="53">
        <f t="shared" si="3"/>
        <v>8500</v>
      </c>
      <c r="J15" s="52">
        <f t="shared" si="4"/>
        <v>5700</v>
      </c>
      <c r="K15" s="52">
        <f t="shared" si="5"/>
        <v>0</v>
      </c>
      <c r="L15" s="52">
        <f t="shared" si="6"/>
        <v>0</v>
      </c>
      <c r="M15" s="52">
        <f t="shared" si="7"/>
        <v>0</v>
      </c>
      <c r="N15" s="53">
        <f t="shared" si="8"/>
        <v>0</v>
      </c>
      <c r="O15" s="52">
        <f t="shared" si="9"/>
        <v>5700</v>
      </c>
      <c r="P15" s="53">
        <f t="shared" si="10"/>
        <v>8500</v>
      </c>
      <c r="Q15" s="52">
        <f t="shared" si="11"/>
        <v>2800</v>
      </c>
      <c r="R15" s="19">
        <f t="shared" si="12"/>
        <v>0</v>
      </c>
      <c r="S15" s="49" t="str">
        <f t="shared" si="13"/>
        <v>En orden</v>
      </c>
      <c r="T15" s="50">
        <f ca="1">INDEX(Historial!$F$32:$AC$32,1,$A15)</f>
        <v>0</v>
      </c>
    </row>
    <row r="16" spans="1:20" x14ac:dyDescent="0.25">
      <c r="A16" s="49">
        <v>10</v>
      </c>
      <c r="B16" s="21" t="s">
        <v>130</v>
      </c>
      <c r="C16" s="50">
        <v>5</v>
      </c>
      <c r="D16" s="31" t="s">
        <v>126</v>
      </c>
      <c r="E16" s="33">
        <f t="shared" si="0"/>
        <v>46158</v>
      </c>
      <c r="F16" s="33">
        <f t="shared" si="1"/>
        <v>46173</v>
      </c>
      <c r="G16" s="51">
        <v>8500</v>
      </c>
      <c r="H16" s="52">
        <f t="shared" si="2"/>
        <v>0</v>
      </c>
      <c r="I16" s="53">
        <f t="shared" si="3"/>
        <v>8500</v>
      </c>
      <c r="J16" s="52">
        <f t="shared" si="4"/>
        <v>6400</v>
      </c>
      <c r="K16" s="52">
        <f t="shared" si="5"/>
        <v>0</v>
      </c>
      <c r="L16" s="52">
        <f t="shared" si="6"/>
        <v>0</v>
      </c>
      <c r="M16" s="52">
        <f t="shared" si="7"/>
        <v>0</v>
      </c>
      <c r="N16" s="53">
        <f t="shared" si="8"/>
        <v>0</v>
      </c>
      <c r="O16" s="52">
        <f t="shared" si="9"/>
        <v>6400</v>
      </c>
      <c r="P16" s="53">
        <f t="shared" si="10"/>
        <v>8500</v>
      </c>
      <c r="Q16" s="52">
        <f t="shared" si="11"/>
        <v>2100</v>
      </c>
      <c r="R16" s="19">
        <f t="shared" si="12"/>
        <v>0</v>
      </c>
      <c r="S16" s="49" t="str">
        <f t="shared" si="13"/>
        <v>En orden</v>
      </c>
      <c r="T16" s="50">
        <f ca="1">INDEX(Historial!$F$32:$AC$32,1,$A16)</f>
        <v>0</v>
      </c>
    </row>
    <row r="17" spans="1:20" x14ac:dyDescent="0.25">
      <c r="A17" s="54">
        <v>11</v>
      </c>
      <c r="B17" s="55" t="s">
        <v>131</v>
      </c>
      <c r="C17" s="56">
        <v>6</v>
      </c>
      <c r="D17" s="57" t="s">
        <v>125</v>
      </c>
      <c r="E17" s="58">
        <f t="shared" si="0"/>
        <v>46174</v>
      </c>
      <c r="F17" s="58">
        <f t="shared" si="1"/>
        <v>46188</v>
      </c>
      <c r="G17" s="51">
        <v>8500</v>
      </c>
      <c r="H17" s="59">
        <f t="shared" si="2"/>
        <v>0</v>
      </c>
      <c r="I17" s="60">
        <f t="shared" si="3"/>
        <v>8500</v>
      </c>
      <c r="J17" s="59">
        <f t="shared" si="4"/>
        <v>5700</v>
      </c>
      <c r="K17" s="59">
        <f t="shared" si="5"/>
        <v>0</v>
      </c>
      <c r="L17" s="59">
        <f t="shared" si="6"/>
        <v>0</v>
      </c>
      <c r="M17" s="59">
        <f t="shared" si="7"/>
        <v>0</v>
      </c>
      <c r="N17" s="60">
        <f t="shared" si="8"/>
        <v>0</v>
      </c>
      <c r="O17" s="59">
        <f t="shared" si="9"/>
        <v>5700</v>
      </c>
      <c r="P17" s="60">
        <f t="shared" si="10"/>
        <v>8500</v>
      </c>
      <c r="Q17" s="59">
        <f t="shared" si="11"/>
        <v>2800</v>
      </c>
      <c r="R17" s="61">
        <f t="shared" si="12"/>
        <v>0</v>
      </c>
      <c r="S17" s="49" t="str">
        <f t="shared" si="13"/>
        <v>En orden</v>
      </c>
      <c r="T17" s="56">
        <f ca="1">INDEX(Historial!$F$32:$AC$32,1,$A17)</f>
        <v>0</v>
      </c>
    </row>
    <row r="18" spans="1:20" x14ac:dyDescent="0.25">
      <c r="A18" s="54">
        <v>12</v>
      </c>
      <c r="B18" s="55" t="s">
        <v>131</v>
      </c>
      <c r="C18" s="56">
        <v>6</v>
      </c>
      <c r="D18" s="57" t="s">
        <v>126</v>
      </c>
      <c r="E18" s="58">
        <f t="shared" si="0"/>
        <v>46189</v>
      </c>
      <c r="F18" s="58">
        <f t="shared" si="1"/>
        <v>46203</v>
      </c>
      <c r="G18" s="51">
        <v>8500</v>
      </c>
      <c r="H18" s="59">
        <f t="shared" si="2"/>
        <v>0</v>
      </c>
      <c r="I18" s="60">
        <f t="shared" si="3"/>
        <v>8500</v>
      </c>
      <c r="J18" s="59">
        <f t="shared" si="4"/>
        <v>6400</v>
      </c>
      <c r="K18" s="59">
        <f t="shared" si="5"/>
        <v>0</v>
      </c>
      <c r="L18" s="59">
        <f t="shared" si="6"/>
        <v>0</v>
      </c>
      <c r="M18" s="59">
        <f t="shared" si="7"/>
        <v>0</v>
      </c>
      <c r="N18" s="60">
        <f t="shared" si="8"/>
        <v>0</v>
      </c>
      <c r="O18" s="59">
        <f t="shared" si="9"/>
        <v>6400</v>
      </c>
      <c r="P18" s="60">
        <f t="shared" si="10"/>
        <v>8500</v>
      </c>
      <c r="Q18" s="59">
        <f t="shared" si="11"/>
        <v>2100</v>
      </c>
      <c r="R18" s="61">
        <f t="shared" si="12"/>
        <v>0</v>
      </c>
      <c r="S18" s="49" t="str">
        <f t="shared" si="13"/>
        <v>En orden</v>
      </c>
      <c r="T18" s="56">
        <f ca="1">INDEX(Historial!$F$32:$AC$32,1,$A18)</f>
        <v>0</v>
      </c>
    </row>
    <row r="19" spans="1:20" x14ac:dyDescent="0.25">
      <c r="A19" s="49">
        <v>13</v>
      </c>
      <c r="B19" s="21" t="s">
        <v>132</v>
      </c>
      <c r="C19" s="50">
        <v>7</v>
      </c>
      <c r="D19" s="31" t="s">
        <v>125</v>
      </c>
      <c r="E19" s="33">
        <f t="shared" si="0"/>
        <v>46204</v>
      </c>
      <c r="F19" s="33">
        <f t="shared" si="1"/>
        <v>46218</v>
      </c>
      <c r="G19" s="51">
        <v>8500</v>
      </c>
      <c r="H19" s="52">
        <f t="shared" si="2"/>
        <v>0</v>
      </c>
      <c r="I19" s="53">
        <f t="shared" si="3"/>
        <v>8500</v>
      </c>
      <c r="J19" s="52">
        <f t="shared" si="4"/>
        <v>5700</v>
      </c>
      <c r="K19" s="52">
        <f t="shared" si="5"/>
        <v>0</v>
      </c>
      <c r="L19" s="52">
        <f t="shared" si="6"/>
        <v>0</v>
      </c>
      <c r="M19" s="52">
        <f t="shared" si="7"/>
        <v>0</v>
      </c>
      <c r="N19" s="53">
        <f t="shared" si="8"/>
        <v>0</v>
      </c>
      <c r="O19" s="52">
        <f t="shared" si="9"/>
        <v>5700</v>
      </c>
      <c r="P19" s="53">
        <f t="shared" si="10"/>
        <v>8500</v>
      </c>
      <c r="Q19" s="52">
        <f t="shared" si="11"/>
        <v>2800</v>
      </c>
      <c r="R19" s="19">
        <f t="shared" si="12"/>
        <v>0</v>
      </c>
      <c r="S19" s="49" t="str">
        <f t="shared" si="13"/>
        <v>En orden</v>
      </c>
      <c r="T19" s="50">
        <f ca="1">INDEX(Historial!$F$32:$AC$32,1,$A19)</f>
        <v>0</v>
      </c>
    </row>
    <row r="20" spans="1:20" x14ac:dyDescent="0.25">
      <c r="A20" s="49">
        <v>14</v>
      </c>
      <c r="B20" s="21" t="s">
        <v>132</v>
      </c>
      <c r="C20" s="50">
        <v>7</v>
      </c>
      <c r="D20" s="31" t="s">
        <v>126</v>
      </c>
      <c r="E20" s="33">
        <f t="shared" si="0"/>
        <v>46219</v>
      </c>
      <c r="F20" s="33">
        <f t="shared" si="1"/>
        <v>46234</v>
      </c>
      <c r="G20" s="51">
        <v>8500</v>
      </c>
      <c r="H20" s="52">
        <f t="shared" si="2"/>
        <v>0</v>
      </c>
      <c r="I20" s="53">
        <f t="shared" si="3"/>
        <v>8500</v>
      </c>
      <c r="J20" s="52">
        <f t="shared" si="4"/>
        <v>6400</v>
      </c>
      <c r="K20" s="52">
        <f t="shared" si="5"/>
        <v>0</v>
      </c>
      <c r="L20" s="52">
        <f t="shared" si="6"/>
        <v>0</v>
      </c>
      <c r="M20" s="52">
        <f t="shared" si="7"/>
        <v>0</v>
      </c>
      <c r="N20" s="53">
        <f t="shared" si="8"/>
        <v>0</v>
      </c>
      <c r="O20" s="52">
        <f t="shared" si="9"/>
        <v>6400</v>
      </c>
      <c r="P20" s="53">
        <f t="shared" si="10"/>
        <v>8500</v>
      </c>
      <c r="Q20" s="52">
        <f t="shared" si="11"/>
        <v>2100</v>
      </c>
      <c r="R20" s="19">
        <f t="shared" si="12"/>
        <v>0</v>
      </c>
      <c r="S20" s="49" t="str">
        <f t="shared" si="13"/>
        <v>En orden</v>
      </c>
      <c r="T20" s="50">
        <f ca="1">INDEX(Historial!$F$32:$AC$32,1,$A20)</f>
        <v>0</v>
      </c>
    </row>
    <row r="21" spans="1:20" x14ac:dyDescent="0.25">
      <c r="A21" s="54">
        <v>15</v>
      </c>
      <c r="B21" s="55" t="s">
        <v>133</v>
      </c>
      <c r="C21" s="56">
        <v>8</v>
      </c>
      <c r="D21" s="57" t="s">
        <v>125</v>
      </c>
      <c r="E21" s="58">
        <f t="shared" si="0"/>
        <v>46235</v>
      </c>
      <c r="F21" s="58">
        <f t="shared" si="1"/>
        <v>46249</v>
      </c>
      <c r="G21" s="51">
        <v>8500</v>
      </c>
      <c r="H21" s="59">
        <f t="shared" si="2"/>
        <v>0</v>
      </c>
      <c r="I21" s="60">
        <f t="shared" si="3"/>
        <v>8500</v>
      </c>
      <c r="J21" s="59">
        <f t="shared" si="4"/>
        <v>5700</v>
      </c>
      <c r="K21" s="59">
        <f t="shared" si="5"/>
        <v>0</v>
      </c>
      <c r="L21" s="59">
        <f t="shared" si="6"/>
        <v>0</v>
      </c>
      <c r="M21" s="59">
        <f t="shared" si="7"/>
        <v>0</v>
      </c>
      <c r="N21" s="60">
        <f t="shared" si="8"/>
        <v>0</v>
      </c>
      <c r="O21" s="59">
        <f t="shared" si="9"/>
        <v>5700</v>
      </c>
      <c r="P21" s="60">
        <f t="shared" si="10"/>
        <v>8500</v>
      </c>
      <c r="Q21" s="59">
        <f t="shared" si="11"/>
        <v>2800</v>
      </c>
      <c r="R21" s="61">
        <f t="shared" si="12"/>
        <v>0</v>
      </c>
      <c r="S21" s="49" t="str">
        <f t="shared" si="13"/>
        <v>En orden</v>
      </c>
      <c r="T21" s="56">
        <f ca="1">INDEX(Historial!$F$32:$AC$32,1,$A21)</f>
        <v>0</v>
      </c>
    </row>
    <row r="22" spans="1:20" x14ac:dyDescent="0.25">
      <c r="A22" s="54">
        <v>16</v>
      </c>
      <c r="B22" s="55" t="s">
        <v>133</v>
      </c>
      <c r="C22" s="56">
        <v>8</v>
      </c>
      <c r="D22" s="57" t="s">
        <v>126</v>
      </c>
      <c r="E22" s="58">
        <f t="shared" si="0"/>
        <v>46250</v>
      </c>
      <c r="F22" s="58">
        <f t="shared" si="1"/>
        <v>46265</v>
      </c>
      <c r="G22" s="51">
        <v>8500</v>
      </c>
      <c r="H22" s="59">
        <f t="shared" si="2"/>
        <v>0</v>
      </c>
      <c r="I22" s="60">
        <f t="shared" si="3"/>
        <v>8500</v>
      </c>
      <c r="J22" s="59">
        <f t="shared" si="4"/>
        <v>6400</v>
      </c>
      <c r="K22" s="59">
        <f t="shared" si="5"/>
        <v>0</v>
      </c>
      <c r="L22" s="59">
        <f t="shared" si="6"/>
        <v>0</v>
      </c>
      <c r="M22" s="59">
        <f t="shared" si="7"/>
        <v>0</v>
      </c>
      <c r="N22" s="60">
        <f t="shared" si="8"/>
        <v>0</v>
      </c>
      <c r="O22" s="59">
        <f t="shared" si="9"/>
        <v>6400</v>
      </c>
      <c r="P22" s="60">
        <f t="shared" si="10"/>
        <v>8500</v>
      </c>
      <c r="Q22" s="59">
        <f t="shared" si="11"/>
        <v>2100</v>
      </c>
      <c r="R22" s="61">
        <f t="shared" si="12"/>
        <v>0</v>
      </c>
      <c r="S22" s="49" t="str">
        <f t="shared" si="13"/>
        <v>En orden</v>
      </c>
      <c r="T22" s="56">
        <f ca="1">INDEX(Historial!$F$32:$AC$32,1,$A22)</f>
        <v>0</v>
      </c>
    </row>
    <row r="23" spans="1:20" x14ac:dyDescent="0.25">
      <c r="A23" s="49">
        <v>17</v>
      </c>
      <c r="B23" s="21" t="s">
        <v>134</v>
      </c>
      <c r="C23" s="50">
        <v>9</v>
      </c>
      <c r="D23" s="31" t="s">
        <v>125</v>
      </c>
      <c r="E23" s="33">
        <f t="shared" si="0"/>
        <v>46266</v>
      </c>
      <c r="F23" s="33">
        <f t="shared" si="1"/>
        <v>46280</v>
      </c>
      <c r="G23" s="51">
        <v>8500</v>
      </c>
      <c r="H23" s="52">
        <f t="shared" si="2"/>
        <v>0</v>
      </c>
      <c r="I23" s="53">
        <f t="shared" si="3"/>
        <v>8500</v>
      </c>
      <c r="J23" s="52">
        <f t="shared" si="4"/>
        <v>5700</v>
      </c>
      <c r="K23" s="52">
        <f>SUMIFS(Reg_Monto,Reg_Quincena,$A23,Reg_Tipo,"Fijo")</f>
        <v>0</v>
      </c>
      <c r="L23" s="52">
        <f t="shared" si="6"/>
        <v>0</v>
      </c>
      <c r="M23" s="52">
        <f t="shared" si="7"/>
        <v>0</v>
      </c>
      <c r="N23" s="53">
        <f t="shared" si="8"/>
        <v>0</v>
      </c>
      <c r="O23" s="52">
        <f t="shared" si="9"/>
        <v>5700</v>
      </c>
      <c r="P23" s="53">
        <f t="shared" si="10"/>
        <v>8500</v>
      </c>
      <c r="Q23" s="52">
        <f t="shared" si="11"/>
        <v>2800</v>
      </c>
      <c r="R23" s="19">
        <f t="shared" si="12"/>
        <v>0</v>
      </c>
      <c r="S23" s="49" t="str">
        <f t="shared" si="13"/>
        <v>En orden</v>
      </c>
      <c r="T23" s="50">
        <f ca="1">INDEX(Historial!$F$32:$AC$32,1,$A23)</f>
        <v>0</v>
      </c>
    </row>
    <row r="24" spans="1:20" x14ac:dyDescent="0.25">
      <c r="A24" s="49">
        <v>18</v>
      </c>
      <c r="B24" s="21" t="s">
        <v>134</v>
      </c>
      <c r="C24" s="50">
        <v>9</v>
      </c>
      <c r="D24" s="31" t="s">
        <v>126</v>
      </c>
      <c r="E24" s="33">
        <f t="shared" si="0"/>
        <v>46281</v>
      </c>
      <c r="F24" s="33">
        <f t="shared" si="1"/>
        <v>46295</v>
      </c>
      <c r="G24" s="51">
        <v>8500</v>
      </c>
      <c r="H24" s="52">
        <f t="shared" si="2"/>
        <v>0</v>
      </c>
      <c r="I24" s="53">
        <f t="shared" si="3"/>
        <v>8500</v>
      </c>
      <c r="J24" s="52">
        <f t="shared" si="4"/>
        <v>6400</v>
      </c>
      <c r="K24" s="52">
        <f t="shared" si="5"/>
        <v>0</v>
      </c>
      <c r="L24" s="52">
        <f t="shared" si="6"/>
        <v>0</v>
      </c>
      <c r="M24" s="52">
        <f t="shared" si="7"/>
        <v>0</v>
      </c>
      <c r="N24" s="53">
        <f t="shared" si="8"/>
        <v>0</v>
      </c>
      <c r="O24" s="52">
        <f t="shared" si="9"/>
        <v>6400</v>
      </c>
      <c r="P24" s="53">
        <f t="shared" si="10"/>
        <v>8500</v>
      </c>
      <c r="Q24" s="52">
        <f t="shared" si="11"/>
        <v>2100</v>
      </c>
      <c r="R24" s="19">
        <f t="shared" si="12"/>
        <v>0</v>
      </c>
      <c r="S24" s="49" t="str">
        <f t="shared" si="13"/>
        <v>En orden</v>
      </c>
      <c r="T24" s="50">
        <f ca="1">INDEX(Historial!$F$32:$AC$32,1,$A24)</f>
        <v>0</v>
      </c>
    </row>
    <row r="25" spans="1:20" x14ac:dyDescent="0.25">
      <c r="A25" s="54">
        <v>19</v>
      </c>
      <c r="B25" s="55" t="s">
        <v>135</v>
      </c>
      <c r="C25" s="56">
        <v>10</v>
      </c>
      <c r="D25" s="57" t="s">
        <v>125</v>
      </c>
      <c r="E25" s="58">
        <f t="shared" si="0"/>
        <v>46296</v>
      </c>
      <c r="F25" s="58">
        <f t="shared" si="1"/>
        <v>46310</v>
      </c>
      <c r="G25" s="51">
        <v>8500</v>
      </c>
      <c r="H25" s="59">
        <f t="shared" si="2"/>
        <v>0</v>
      </c>
      <c r="I25" s="60">
        <f t="shared" si="3"/>
        <v>8500</v>
      </c>
      <c r="J25" s="59">
        <f t="shared" si="4"/>
        <v>5700</v>
      </c>
      <c r="K25" s="59">
        <f t="shared" si="5"/>
        <v>0</v>
      </c>
      <c r="L25" s="59">
        <f t="shared" si="6"/>
        <v>0</v>
      </c>
      <c r="M25" s="59">
        <f t="shared" si="7"/>
        <v>0</v>
      </c>
      <c r="N25" s="60">
        <f t="shared" si="8"/>
        <v>0</v>
      </c>
      <c r="O25" s="59">
        <f t="shared" si="9"/>
        <v>5700</v>
      </c>
      <c r="P25" s="60">
        <f t="shared" si="10"/>
        <v>8500</v>
      </c>
      <c r="Q25" s="59">
        <f t="shared" si="11"/>
        <v>2800</v>
      </c>
      <c r="R25" s="61">
        <f t="shared" si="12"/>
        <v>0</v>
      </c>
      <c r="S25" s="49" t="str">
        <f t="shared" si="13"/>
        <v>En orden</v>
      </c>
      <c r="T25" s="56">
        <f ca="1">INDEX(Historial!$F$32:$AC$32,1,$A25)</f>
        <v>0</v>
      </c>
    </row>
    <row r="26" spans="1:20" x14ac:dyDescent="0.25">
      <c r="A26" s="54">
        <v>20</v>
      </c>
      <c r="B26" s="55" t="s">
        <v>135</v>
      </c>
      <c r="C26" s="56">
        <v>10</v>
      </c>
      <c r="D26" s="57" t="s">
        <v>126</v>
      </c>
      <c r="E26" s="58">
        <f t="shared" si="0"/>
        <v>46311</v>
      </c>
      <c r="F26" s="58">
        <f t="shared" si="1"/>
        <v>46326</v>
      </c>
      <c r="G26" s="51">
        <v>8500</v>
      </c>
      <c r="H26" s="59">
        <f t="shared" si="2"/>
        <v>0</v>
      </c>
      <c r="I26" s="60">
        <f t="shared" si="3"/>
        <v>8500</v>
      </c>
      <c r="J26" s="59">
        <f t="shared" si="4"/>
        <v>6400</v>
      </c>
      <c r="K26" s="59">
        <f t="shared" si="5"/>
        <v>0</v>
      </c>
      <c r="L26" s="59">
        <f t="shared" si="6"/>
        <v>0</v>
      </c>
      <c r="M26" s="59">
        <f t="shared" si="7"/>
        <v>0</v>
      </c>
      <c r="N26" s="60">
        <f t="shared" si="8"/>
        <v>0</v>
      </c>
      <c r="O26" s="59">
        <f t="shared" si="9"/>
        <v>6400</v>
      </c>
      <c r="P26" s="60">
        <f t="shared" si="10"/>
        <v>8500</v>
      </c>
      <c r="Q26" s="59">
        <f t="shared" si="11"/>
        <v>2100</v>
      </c>
      <c r="R26" s="61">
        <f t="shared" si="12"/>
        <v>0</v>
      </c>
      <c r="S26" s="49" t="str">
        <f t="shared" si="13"/>
        <v>En orden</v>
      </c>
      <c r="T26" s="56">
        <f ca="1">INDEX(Historial!$F$32:$AC$32,1,$A26)</f>
        <v>0</v>
      </c>
    </row>
    <row r="27" spans="1:20" x14ac:dyDescent="0.25">
      <c r="A27" s="49">
        <v>21</v>
      </c>
      <c r="B27" s="21" t="s">
        <v>136</v>
      </c>
      <c r="C27" s="50">
        <v>11</v>
      </c>
      <c r="D27" s="31" t="s">
        <v>125</v>
      </c>
      <c r="E27" s="33">
        <f t="shared" si="0"/>
        <v>46327</v>
      </c>
      <c r="F27" s="33">
        <f t="shared" si="1"/>
        <v>46341</v>
      </c>
      <c r="G27" s="51">
        <v>8500</v>
      </c>
      <c r="H27" s="52">
        <f t="shared" si="2"/>
        <v>0</v>
      </c>
      <c r="I27" s="53">
        <f t="shared" si="3"/>
        <v>8500</v>
      </c>
      <c r="J27" s="52">
        <f t="shared" si="4"/>
        <v>5700</v>
      </c>
      <c r="K27" s="52">
        <f t="shared" si="5"/>
        <v>0</v>
      </c>
      <c r="L27" s="52">
        <f t="shared" si="6"/>
        <v>0</v>
      </c>
      <c r="M27" s="52">
        <f t="shared" si="7"/>
        <v>0</v>
      </c>
      <c r="N27" s="53">
        <f t="shared" si="8"/>
        <v>0</v>
      </c>
      <c r="O27" s="52">
        <f t="shared" si="9"/>
        <v>5700</v>
      </c>
      <c r="P27" s="53">
        <f t="shared" si="10"/>
        <v>8500</v>
      </c>
      <c r="Q27" s="52">
        <f t="shared" si="11"/>
        <v>2800</v>
      </c>
      <c r="R27" s="19">
        <f t="shared" si="12"/>
        <v>0</v>
      </c>
      <c r="S27" s="49" t="str">
        <f t="shared" si="13"/>
        <v>En orden</v>
      </c>
      <c r="T27" s="50">
        <f ca="1">INDEX(Historial!$F$32:$AC$32,1,$A27)</f>
        <v>0</v>
      </c>
    </row>
    <row r="28" spans="1:20" x14ac:dyDescent="0.25">
      <c r="A28" s="49">
        <v>22</v>
      </c>
      <c r="B28" s="21" t="s">
        <v>136</v>
      </c>
      <c r="C28" s="50">
        <v>11</v>
      </c>
      <c r="D28" s="31" t="s">
        <v>126</v>
      </c>
      <c r="E28" s="33">
        <f t="shared" si="0"/>
        <v>46342</v>
      </c>
      <c r="F28" s="33">
        <f t="shared" si="1"/>
        <v>46356</v>
      </c>
      <c r="G28" s="51">
        <v>8500</v>
      </c>
      <c r="H28" s="52">
        <f t="shared" si="2"/>
        <v>0</v>
      </c>
      <c r="I28" s="53">
        <f t="shared" si="3"/>
        <v>8500</v>
      </c>
      <c r="J28" s="52">
        <f t="shared" si="4"/>
        <v>6400</v>
      </c>
      <c r="K28" s="52">
        <f t="shared" si="5"/>
        <v>0</v>
      </c>
      <c r="L28" s="52">
        <f t="shared" si="6"/>
        <v>0</v>
      </c>
      <c r="M28" s="52">
        <f t="shared" si="7"/>
        <v>0</v>
      </c>
      <c r="N28" s="53">
        <f t="shared" si="8"/>
        <v>0</v>
      </c>
      <c r="O28" s="52">
        <f t="shared" si="9"/>
        <v>6400</v>
      </c>
      <c r="P28" s="53">
        <f t="shared" si="10"/>
        <v>8500</v>
      </c>
      <c r="Q28" s="52">
        <f t="shared" si="11"/>
        <v>2100</v>
      </c>
      <c r="R28" s="19">
        <f t="shared" si="12"/>
        <v>0</v>
      </c>
      <c r="S28" s="49" t="str">
        <f t="shared" si="13"/>
        <v>En orden</v>
      </c>
      <c r="T28" s="50">
        <f ca="1">INDEX(Historial!$F$32:$AC$32,1,$A28)</f>
        <v>0</v>
      </c>
    </row>
    <row r="29" spans="1:20" x14ac:dyDescent="0.25">
      <c r="A29" s="54">
        <v>23</v>
      </c>
      <c r="B29" s="55" t="s">
        <v>137</v>
      </c>
      <c r="C29" s="56">
        <v>12</v>
      </c>
      <c r="D29" s="57" t="s">
        <v>125</v>
      </c>
      <c r="E29" s="58">
        <f t="shared" si="0"/>
        <v>46357</v>
      </c>
      <c r="F29" s="58">
        <f t="shared" si="1"/>
        <v>46371</v>
      </c>
      <c r="G29" s="51">
        <v>8500</v>
      </c>
      <c r="H29" s="59">
        <f t="shared" si="2"/>
        <v>0</v>
      </c>
      <c r="I29" s="60">
        <f t="shared" si="3"/>
        <v>8500</v>
      </c>
      <c r="J29" s="59">
        <f t="shared" si="4"/>
        <v>5700</v>
      </c>
      <c r="K29" s="59">
        <f t="shared" si="5"/>
        <v>0</v>
      </c>
      <c r="L29" s="59">
        <f t="shared" si="6"/>
        <v>0</v>
      </c>
      <c r="M29" s="59">
        <f t="shared" si="7"/>
        <v>0</v>
      </c>
      <c r="N29" s="60">
        <f t="shared" si="8"/>
        <v>0</v>
      </c>
      <c r="O29" s="59">
        <f t="shared" si="9"/>
        <v>5700</v>
      </c>
      <c r="P29" s="60">
        <f t="shared" si="10"/>
        <v>8500</v>
      </c>
      <c r="Q29" s="59">
        <f t="shared" si="11"/>
        <v>2800</v>
      </c>
      <c r="R29" s="61">
        <f t="shared" si="12"/>
        <v>0</v>
      </c>
      <c r="S29" s="49" t="str">
        <f t="shared" si="13"/>
        <v>En orden</v>
      </c>
      <c r="T29" s="56">
        <f ca="1">INDEX(Historial!$F$32:$AC$32,1,$A29)</f>
        <v>0</v>
      </c>
    </row>
    <row r="30" spans="1:20" x14ac:dyDescent="0.25">
      <c r="A30" s="54">
        <v>24</v>
      </c>
      <c r="B30" s="55" t="s">
        <v>137</v>
      </c>
      <c r="C30" s="56">
        <v>12</v>
      </c>
      <c r="D30" s="57" t="s">
        <v>126</v>
      </c>
      <c r="E30" s="58">
        <f t="shared" si="0"/>
        <v>46372</v>
      </c>
      <c r="F30" s="58">
        <f t="shared" si="1"/>
        <v>46387</v>
      </c>
      <c r="G30" s="51">
        <v>8500</v>
      </c>
      <c r="H30" s="59">
        <f t="shared" si="2"/>
        <v>0</v>
      </c>
      <c r="I30" s="60">
        <f t="shared" si="3"/>
        <v>8500</v>
      </c>
      <c r="J30" s="59">
        <f t="shared" si="4"/>
        <v>6400</v>
      </c>
      <c r="K30" s="59">
        <f t="shared" si="5"/>
        <v>0</v>
      </c>
      <c r="L30" s="59">
        <f t="shared" si="6"/>
        <v>0</v>
      </c>
      <c r="M30" s="59">
        <f t="shared" si="7"/>
        <v>0</v>
      </c>
      <c r="N30" s="60">
        <f t="shared" si="8"/>
        <v>0</v>
      </c>
      <c r="O30" s="59">
        <f t="shared" si="9"/>
        <v>6400</v>
      </c>
      <c r="P30" s="60">
        <f t="shared" si="10"/>
        <v>8500</v>
      </c>
      <c r="Q30" s="59">
        <f t="shared" si="11"/>
        <v>2100</v>
      </c>
      <c r="R30" s="61">
        <f t="shared" si="12"/>
        <v>0</v>
      </c>
      <c r="S30" s="49" t="str">
        <f t="shared" si="13"/>
        <v>En orden</v>
      </c>
      <c r="T30" s="56">
        <f ca="1">INDEX(Historial!$F$32:$AC$32,1,$A30)</f>
        <v>0</v>
      </c>
    </row>
    <row r="31" spans="1:20" ht="21.75" customHeight="1" x14ac:dyDescent="0.25">
      <c r="A31" s="6" t="s">
        <v>138</v>
      </c>
      <c r="B31" s="6"/>
      <c r="C31" s="6"/>
      <c r="D31" s="6"/>
      <c r="E31" s="6"/>
      <c r="F31" s="6"/>
      <c r="G31" s="63">
        <f t="shared" ref="G31:Q31" si="14">SUM(G7:G30)</f>
        <v>204000</v>
      </c>
      <c r="H31" s="63">
        <f t="shared" si="14"/>
        <v>0</v>
      </c>
      <c r="I31" s="63">
        <f t="shared" si="14"/>
        <v>204000</v>
      </c>
      <c r="J31" s="63">
        <f t="shared" si="14"/>
        <v>145200</v>
      </c>
      <c r="K31" s="63">
        <f t="shared" si="14"/>
        <v>0</v>
      </c>
      <c r="L31" s="63">
        <f t="shared" si="14"/>
        <v>0</v>
      </c>
      <c r="M31" s="63">
        <f t="shared" si="14"/>
        <v>0</v>
      </c>
      <c r="N31" s="63">
        <f t="shared" si="14"/>
        <v>0</v>
      </c>
      <c r="O31" s="63">
        <f t="shared" si="14"/>
        <v>145200</v>
      </c>
      <c r="P31" s="63">
        <f t="shared" si="14"/>
        <v>204000</v>
      </c>
      <c r="Q31" s="63">
        <f t="shared" si="14"/>
        <v>58800</v>
      </c>
      <c r="R31" s="64">
        <f t="shared" si="12"/>
        <v>0</v>
      </c>
      <c r="S31" s="65" t="str">
        <f>COUNTIF($S$7:$S$30,"Sobregiro")&amp;" quincena(s) con sobregiro"</f>
        <v>0 quincena(s) con sobregiro</v>
      </c>
      <c r="T31" s="66">
        <f ca="1">SUM(T7:T30)</f>
        <v>0</v>
      </c>
    </row>
  </sheetData>
  <autoFilter ref="A6:T30" xr:uid="{00000000-0009-0000-0000-000002000000}"/>
  <mergeCells count="2">
    <mergeCell ref="A1:T1"/>
    <mergeCell ref="A31:F31"/>
  </mergeCells>
  <conditionalFormatting sqref="A7:T30">
    <cfRule type="expression" dxfId="30" priority="10">
      <formula>$A7=Q_Activa</formula>
    </cfRule>
  </conditionalFormatting>
  <conditionalFormatting sqref="P7:Q30">
    <cfRule type="cellIs" dxfId="29" priority="7" operator="lessThan">
      <formula>0</formula>
    </cfRule>
  </conditionalFormatting>
  <conditionalFormatting sqref="R7:R30">
    <cfRule type="dataBar" priority="9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{FF3AE399-B189-4BFE-BAEF-2CD66CCC413A}</x14:id>
        </ext>
      </extLst>
    </cfRule>
  </conditionalFormatting>
  <conditionalFormatting sqref="S7:S30">
    <cfRule type="expression" dxfId="28" priority="2">
      <formula>$S7="Sobregiro"</formula>
    </cfRule>
    <cfRule type="expression" dxfId="27" priority="3">
      <formula>$S7="No alcanza para los fijos"</formula>
    </cfRule>
    <cfRule type="expression" dxfId="26" priority="4">
      <formula>$S7="Cerca del límite"</formula>
    </cfRule>
    <cfRule type="expression" dxfId="25" priority="5">
      <formula>$S7="Sin ingreso definido"</formula>
    </cfRule>
    <cfRule type="expression" dxfId="24" priority="6">
      <formula>$S7="En orden"</formula>
    </cfRule>
  </conditionalFormatting>
  <conditionalFormatting sqref="T7:T30">
    <cfRule type="cellIs" dxfId="23" priority="8" operator="greaterThan">
      <formula>0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F3AE399-B189-4BFE-BAEF-2CD66CCC413A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R7:R30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55A11"/>
    <pageSetUpPr fitToPage="1"/>
  </sheetPr>
  <dimension ref="A1:L38"/>
  <sheetViews>
    <sheetView showGridLines="0" tabSelected="1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L13" sqref="L13"/>
    </sheetView>
  </sheetViews>
  <sheetFormatPr baseColWidth="10" defaultColWidth="8.7109375" defaultRowHeight="15" x14ac:dyDescent="0.25"/>
  <cols>
    <col min="1" max="1" width="7" customWidth="1"/>
    <col min="2" max="2" width="24" customWidth="1"/>
    <col min="3" max="3" width="30" customWidth="1"/>
    <col min="4" max="4" width="14" customWidth="1"/>
    <col min="5" max="5" width="9" customWidth="1"/>
    <col min="6" max="6" width="13" customWidth="1"/>
    <col min="7" max="7" width="10" customWidth="1"/>
    <col min="8" max="8" width="21" customWidth="1"/>
    <col min="9" max="9" width="9" customWidth="1"/>
    <col min="10" max="11" width="14" customWidth="1"/>
    <col min="12" max="12" width="34" customWidth="1"/>
  </cols>
  <sheetData>
    <row r="1" spans="1:12" ht="27.75" customHeight="1" x14ac:dyDescent="0.25">
      <c r="A1" s="7" t="s">
        <v>139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8" t="s">
        <v>140</v>
      </c>
    </row>
    <row r="3" spans="1:12" x14ac:dyDescent="0.25">
      <c r="A3" s="28" t="s">
        <v>141</v>
      </c>
    </row>
    <row r="6" spans="1:12" ht="48" customHeight="1" x14ac:dyDescent="0.25">
      <c r="A6" s="17" t="s">
        <v>142</v>
      </c>
      <c r="B6" s="17" t="s">
        <v>143</v>
      </c>
      <c r="C6" s="17" t="s">
        <v>5</v>
      </c>
      <c r="D6" s="17" t="s">
        <v>144</v>
      </c>
      <c r="E6" s="17" t="s">
        <v>145</v>
      </c>
      <c r="F6" s="17" t="s">
        <v>146</v>
      </c>
      <c r="G6" s="17" t="s">
        <v>147</v>
      </c>
      <c r="H6" s="17" t="s">
        <v>148</v>
      </c>
      <c r="I6" s="17" t="s">
        <v>149</v>
      </c>
      <c r="J6" s="17" t="s">
        <v>150</v>
      </c>
      <c r="K6" s="17" t="s">
        <v>151</v>
      </c>
      <c r="L6" s="17" t="s">
        <v>152</v>
      </c>
    </row>
    <row r="7" spans="1:12" x14ac:dyDescent="0.25">
      <c r="A7" s="67" t="str">
        <f t="shared" ref="A7:A28" si="0">IF($C7="","","F"&amp;TEXT(ROW()-6,"00"))</f>
        <v>F01</v>
      </c>
      <c r="B7" s="68" t="s">
        <v>153</v>
      </c>
      <c r="C7" s="68" t="s">
        <v>268</v>
      </c>
      <c r="D7" s="51">
        <v>2500</v>
      </c>
      <c r="E7" s="69">
        <v>5</v>
      </c>
      <c r="F7" s="70" t="s">
        <v>164</v>
      </c>
      <c r="G7" s="31" t="str">
        <f t="shared" ref="G7:G28" si="1">IF($C7="","",IF($F7="Quincenal","Ambas",IF($E7&lt;=15,"Q1","Q2")))</f>
        <v>Ambas</v>
      </c>
      <c r="H7" s="68" t="s">
        <v>155</v>
      </c>
      <c r="I7" s="29" t="s">
        <v>156</v>
      </c>
      <c r="J7" s="52">
        <f t="shared" ref="J7:J28" si="2">IF($C7="","",IF($I7="No",0,IF($F7="Quincenal",$D7*2,$D7)))</f>
        <v>5000</v>
      </c>
      <c r="K7" s="52">
        <f t="shared" ref="K7:K28" si="3">IF($C7="","",$J7*12)</f>
        <v>60000</v>
      </c>
      <c r="L7" s="71"/>
    </row>
    <row r="8" spans="1:12" x14ac:dyDescent="0.25">
      <c r="A8" s="72" t="str">
        <f t="shared" si="0"/>
        <v>F02</v>
      </c>
      <c r="B8" s="68" t="s">
        <v>162</v>
      </c>
      <c r="C8" s="68" t="s">
        <v>163</v>
      </c>
      <c r="D8" s="51">
        <v>2400</v>
      </c>
      <c r="E8" s="69">
        <v>1</v>
      </c>
      <c r="F8" s="70" t="s">
        <v>164</v>
      </c>
      <c r="G8" s="57" t="str">
        <f t="shared" si="1"/>
        <v>Ambas</v>
      </c>
      <c r="H8" s="68" t="s">
        <v>159</v>
      </c>
      <c r="I8" s="29" t="s">
        <v>156</v>
      </c>
      <c r="J8" s="59">
        <f t="shared" si="2"/>
        <v>4800</v>
      </c>
      <c r="K8" s="59">
        <f t="shared" si="3"/>
        <v>57600</v>
      </c>
      <c r="L8" s="71"/>
    </row>
    <row r="9" spans="1:12" x14ac:dyDescent="0.25">
      <c r="A9" s="67" t="str">
        <f t="shared" si="0"/>
        <v>F03</v>
      </c>
      <c r="B9" s="68" t="s">
        <v>167</v>
      </c>
      <c r="C9" s="68" t="s">
        <v>269</v>
      </c>
      <c r="D9" s="51">
        <v>400</v>
      </c>
      <c r="E9" s="69">
        <v>18</v>
      </c>
      <c r="F9" s="70" t="s">
        <v>164</v>
      </c>
      <c r="G9" s="31" t="str">
        <f t="shared" si="1"/>
        <v>Ambas</v>
      </c>
      <c r="H9" s="68" t="s">
        <v>155</v>
      </c>
      <c r="I9" s="29" t="s">
        <v>156</v>
      </c>
      <c r="J9" s="52">
        <f t="shared" si="2"/>
        <v>800</v>
      </c>
      <c r="K9" s="52">
        <f t="shared" si="3"/>
        <v>9600</v>
      </c>
      <c r="L9" s="71"/>
    </row>
    <row r="10" spans="1:12" x14ac:dyDescent="0.25">
      <c r="A10" s="72" t="str">
        <f t="shared" si="0"/>
        <v>F04</v>
      </c>
      <c r="B10" s="68" t="s">
        <v>168</v>
      </c>
      <c r="C10" s="68" t="s">
        <v>169</v>
      </c>
      <c r="D10" s="51">
        <v>400</v>
      </c>
      <c r="E10" s="69">
        <v>12</v>
      </c>
      <c r="F10" s="70" t="s">
        <v>164</v>
      </c>
      <c r="G10" s="57" t="str">
        <f t="shared" si="1"/>
        <v>Ambas</v>
      </c>
      <c r="H10" s="68" t="s">
        <v>155</v>
      </c>
      <c r="I10" s="29" t="s">
        <v>156</v>
      </c>
      <c r="J10" s="59">
        <f t="shared" si="2"/>
        <v>800</v>
      </c>
      <c r="K10" s="59">
        <f t="shared" si="3"/>
        <v>9600</v>
      </c>
      <c r="L10" s="71"/>
    </row>
    <row r="11" spans="1:12" x14ac:dyDescent="0.25">
      <c r="A11" s="67" t="str">
        <f t="shared" si="0"/>
        <v>F05</v>
      </c>
      <c r="B11" s="68" t="s">
        <v>160</v>
      </c>
      <c r="C11" s="68" t="s">
        <v>271</v>
      </c>
      <c r="D11" s="51">
        <v>700</v>
      </c>
      <c r="E11" s="69">
        <v>28</v>
      </c>
      <c r="F11" s="70" t="s">
        <v>154</v>
      </c>
      <c r="G11" s="31" t="str">
        <f>IF($C11="","",IF($F11="Quincenal","Ambas",IF($E11&lt;=15,"Q1","Q2")))</f>
        <v>Q2</v>
      </c>
      <c r="H11" s="68" t="s">
        <v>155</v>
      </c>
      <c r="I11" s="29" t="s">
        <v>156</v>
      </c>
      <c r="J11" s="52">
        <f t="shared" si="2"/>
        <v>700</v>
      </c>
      <c r="K11" s="52">
        <f t="shared" si="3"/>
        <v>8400</v>
      </c>
      <c r="L11" s="71"/>
    </row>
    <row r="12" spans="1:12" x14ac:dyDescent="0.25">
      <c r="A12" s="72" t="str">
        <f t="shared" si="0"/>
        <v/>
      </c>
      <c r="B12" s="68"/>
      <c r="C12" s="68"/>
      <c r="D12" s="51"/>
      <c r="E12" s="69"/>
      <c r="F12" s="70"/>
      <c r="G12" s="57" t="str">
        <f t="shared" si="1"/>
        <v/>
      </c>
      <c r="H12" s="68"/>
      <c r="I12" s="29"/>
      <c r="J12" s="59" t="str">
        <f t="shared" si="2"/>
        <v/>
      </c>
      <c r="K12" s="59" t="str">
        <f t="shared" si="3"/>
        <v/>
      </c>
      <c r="L12" s="71"/>
    </row>
    <row r="13" spans="1:12" x14ac:dyDescent="0.25">
      <c r="A13" s="67" t="str">
        <f t="shared" si="0"/>
        <v/>
      </c>
      <c r="B13" s="68"/>
      <c r="C13" s="68"/>
      <c r="D13" s="51"/>
      <c r="E13" s="69"/>
      <c r="F13" s="70"/>
      <c r="G13" s="31" t="str">
        <f t="shared" si="1"/>
        <v/>
      </c>
      <c r="H13" s="68"/>
      <c r="I13" s="29"/>
      <c r="J13" s="52" t="str">
        <f t="shared" si="2"/>
        <v/>
      </c>
      <c r="K13" s="52" t="str">
        <f t="shared" si="3"/>
        <v/>
      </c>
      <c r="L13" s="71"/>
    </row>
    <row r="14" spans="1:12" x14ac:dyDescent="0.25">
      <c r="A14" s="72" t="str">
        <f t="shared" si="0"/>
        <v/>
      </c>
      <c r="B14" s="68"/>
      <c r="C14" s="68"/>
      <c r="D14" s="51"/>
      <c r="E14" s="69"/>
      <c r="F14" s="70"/>
      <c r="G14" s="57" t="str">
        <f t="shared" si="1"/>
        <v/>
      </c>
      <c r="H14" s="68"/>
      <c r="I14" s="29"/>
      <c r="J14" s="59" t="str">
        <f t="shared" si="2"/>
        <v/>
      </c>
      <c r="K14" s="59" t="str">
        <f t="shared" si="3"/>
        <v/>
      </c>
      <c r="L14" s="71"/>
    </row>
    <row r="15" spans="1:12" x14ac:dyDescent="0.25">
      <c r="A15" s="67" t="str">
        <f t="shared" si="0"/>
        <v/>
      </c>
      <c r="B15" s="68"/>
      <c r="C15" s="68"/>
      <c r="D15" s="51"/>
      <c r="E15" s="69"/>
      <c r="F15" s="70"/>
      <c r="G15" s="31" t="str">
        <f t="shared" si="1"/>
        <v/>
      </c>
      <c r="H15" s="68"/>
      <c r="I15" s="29"/>
      <c r="J15" s="52" t="str">
        <f t="shared" si="2"/>
        <v/>
      </c>
      <c r="K15" s="52" t="str">
        <f t="shared" si="3"/>
        <v/>
      </c>
      <c r="L15" s="71"/>
    </row>
    <row r="16" spans="1:12" x14ac:dyDescent="0.25">
      <c r="A16" s="72" t="str">
        <f t="shared" si="0"/>
        <v/>
      </c>
      <c r="B16" s="68"/>
      <c r="C16" s="68"/>
      <c r="D16" s="51"/>
      <c r="E16" s="69"/>
      <c r="F16" s="70"/>
      <c r="G16" s="57" t="str">
        <f t="shared" si="1"/>
        <v/>
      </c>
      <c r="H16" s="68"/>
      <c r="I16" s="29"/>
      <c r="J16" s="59" t="str">
        <f t="shared" si="2"/>
        <v/>
      </c>
      <c r="K16" s="59" t="str">
        <f t="shared" si="3"/>
        <v/>
      </c>
      <c r="L16" s="71"/>
    </row>
    <row r="17" spans="1:12" x14ac:dyDescent="0.25">
      <c r="A17" s="67" t="str">
        <f t="shared" si="0"/>
        <v/>
      </c>
      <c r="B17" s="68"/>
      <c r="C17" s="68"/>
      <c r="D17" s="51"/>
      <c r="E17" s="69"/>
      <c r="F17" s="70"/>
      <c r="G17" s="31" t="str">
        <f t="shared" si="1"/>
        <v/>
      </c>
      <c r="H17" s="68"/>
      <c r="I17" s="29"/>
      <c r="J17" s="52" t="str">
        <f t="shared" si="2"/>
        <v/>
      </c>
      <c r="K17" s="52" t="str">
        <f t="shared" si="3"/>
        <v/>
      </c>
      <c r="L17" s="71"/>
    </row>
    <row r="18" spans="1:12" x14ac:dyDescent="0.25">
      <c r="A18" s="72" t="str">
        <f t="shared" si="0"/>
        <v/>
      </c>
      <c r="B18" s="68"/>
      <c r="C18" s="68"/>
      <c r="D18" s="51"/>
      <c r="E18" s="69"/>
      <c r="F18" s="70"/>
      <c r="G18" s="57" t="str">
        <f t="shared" si="1"/>
        <v/>
      </c>
      <c r="H18" s="68"/>
      <c r="I18" s="29"/>
      <c r="J18" s="59" t="str">
        <f t="shared" si="2"/>
        <v/>
      </c>
      <c r="K18" s="59" t="str">
        <f t="shared" si="3"/>
        <v/>
      </c>
      <c r="L18" s="71"/>
    </row>
    <row r="19" spans="1:12" x14ac:dyDescent="0.25">
      <c r="A19" s="67" t="str">
        <f t="shared" si="0"/>
        <v/>
      </c>
      <c r="B19" s="68"/>
      <c r="C19" s="68"/>
      <c r="D19" s="51"/>
      <c r="E19" s="69"/>
      <c r="F19" s="70"/>
      <c r="G19" s="31" t="str">
        <f t="shared" si="1"/>
        <v/>
      </c>
      <c r="H19" s="68"/>
      <c r="I19" s="29"/>
      <c r="J19" s="52" t="str">
        <f t="shared" si="2"/>
        <v/>
      </c>
      <c r="K19" s="52" t="str">
        <f t="shared" si="3"/>
        <v/>
      </c>
      <c r="L19" s="71"/>
    </row>
    <row r="20" spans="1:12" x14ac:dyDescent="0.25">
      <c r="A20" s="72" t="str">
        <f t="shared" si="0"/>
        <v/>
      </c>
      <c r="B20" s="68"/>
      <c r="C20" s="68"/>
      <c r="D20" s="51"/>
      <c r="E20" s="69"/>
      <c r="F20" s="70"/>
      <c r="G20" s="57" t="str">
        <f t="shared" si="1"/>
        <v/>
      </c>
      <c r="H20" s="68"/>
      <c r="I20" s="29"/>
      <c r="J20" s="59" t="str">
        <f t="shared" si="2"/>
        <v/>
      </c>
      <c r="K20" s="59" t="str">
        <f t="shared" si="3"/>
        <v/>
      </c>
      <c r="L20" s="71"/>
    </row>
    <row r="21" spans="1:12" x14ac:dyDescent="0.25">
      <c r="A21" s="67" t="str">
        <f t="shared" si="0"/>
        <v/>
      </c>
      <c r="B21" s="68"/>
      <c r="C21" s="68"/>
      <c r="D21" s="51"/>
      <c r="E21" s="69"/>
      <c r="F21" s="70"/>
      <c r="G21" s="31" t="str">
        <f t="shared" si="1"/>
        <v/>
      </c>
      <c r="H21" s="68"/>
      <c r="I21" s="29"/>
      <c r="J21" s="52" t="str">
        <f t="shared" si="2"/>
        <v/>
      </c>
      <c r="K21" s="52" t="str">
        <f t="shared" si="3"/>
        <v/>
      </c>
      <c r="L21" s="71"/>
    </row>
    <row r="22" spans="1:12" x14ac:dyDescent="0.25">
      <c r="A22" s="72" t="str">
        <f t="shared" si="0"/>
        <v/>
      </c>
      <c r="B22" s="68"/>
      <c r="C22" s="68"/>
      <c r="D22" s="51"/>
      <c r="E22" s="69"/>
      <c r="F22" s="70"/>
      <c r="G22" s="57" t="str">
        <f t="shared" si="1"/>
        <v/>
      </c>
      <c r="H22" s="68"/>
      <c r="I22" s="29"/>
      <c r="J22" s="59" t="str">
        <f t="shared" si="2"/>
        <v/>
      </c>
      <c r="K22" s="59" t="str">
        <f t="shared" si="3"/>
        <v/>
      </c>
      <c r="L22" s="71"/>
    </row>
    <row r="23" spans="1:12" x14ac:dyDescent="0.25">
      <c r="A23" s="67" t="str">
        <f t="shared" si="0"/>
        <v/>
      </c>
      <c r="B23" s="68"/>
      <c r="C23" s="68"/>
      <c r="D23" s="51"/>
      <c r="E23" s="69"/>
      <c r="F23" s="70"/>
      <c r="G23" s="31" t="str">
        <f t="shared" si="1"/>
        <v/>
      </c>
      <c r="H23" s="68"/>
      <c r="I23" s="29"/>
      <c r="J23" s="52" t="str">
        <f t="shared" si="2"/>
        <v/>
      </c>
      <c r="K23" s="52" t="str">
        <f t="shared" si="3"/>
        <v/>
      </c>
      <c r="L23" s="71"/>
    </row>
    <row r="24" spans="1:12" x14ac:dyDescent="0.25">
      <c r="A24" s="72" t="str">
        <f t="shared" si="0"/>
        <v/>
      </c>
      <c r="B24" s="68"/>
      <c r="C24" s="68"/>
      <c r="D24" s="51"/>
      <c r="E24" s="69"/>
      <c r="F24" s="70"/>
      <c r="G24" s="57" t="str">
        <f t="shared" si="1"/>
        <v/>
      </c>
      <c r="H24" s="68"/>
      <c r="I24" s="29"/>
      <c r="J24" s="59" t="str">
        <f t="shared" si="2"/>
        <v/>
      </c>
      <c r="K24" s="59" t="str">
        <f t="shared" si="3"/>
        <v/>
      </c>
      <c r="L24" s="71"/>
    </row>
    <row r="25" spans="1:12" x14ac:dyDescent="0.25">
      <c r="A25" s="67" t="str">
        <f t="shared" si="0"/>
        <v/>
      </c>
      <c r="B25" s="68"/>
      <c r="C25" s="68"/>
      <c r="D25" s="51"/>
      <c r="E25" s="69"/>
      <c r="F25" s="70"/>
      <c r="G25" s="31" t="str">
        <f t="shared" si="1"/>
        <v/>
      </c>
      <c r="H25" s="68"/>
      <c r="I25" s="29"/>
      <c r="J25" s="52" t="str">
        <f t="shared" si="2"/>
        <v/>
      </c>
      <c r="K25" s="52" t="str">
        <f t="shared" si="3"/>
        <v/>
      </c>
      <c r="L25" s="71"/>
    </row>
    <row r="26" spans="1:12" x14ac:dyDescent="0.25">
      <c r="A26" s="72" t="str">
        <f t="shared" si="0"/>
        <v/>
      </c>
      <c r="B26" s="68"/>
      <c r="C26" s="68"/>
      <c r="D26" s="51"/>
      <c r="E26" s="69"/>
      <c r="F26" s="70"/>
      <c r="G26" s="57" t="str">
        <f t="shared" si="1"/>
        <v/>
      </c>
      <c r="H26" s="68"/>
      <c r="I26" s="29"/>
      <c r="J26" s="59" t="str">
        <f t="shared" si="2"/>
        <v/>
      </c>
      <c r="K26" s="59" t="str">
        <f t="shared" si="3"/>
        <v/>
      </c>
      <c r="L26" s="71"/>
    </row>
    <row r="27" spans="1:12" x14ac:dyDescent="0.25">
      <c r="A27" s="67" t="str">
        <f t="shared" si="0"/>
        <v/>
      </c>
      <c r="B27" s="68"/>
      <c r="C27" s="68"/>
      <c r="D27" s="51"/>
      <c r="E27" s="69"/>
      <c r="F27" s="70"/>
      <c r="G27" s="31" t="str">
        <f t="shared" si="1"/>
        <v/>
      </c>
      <c r="H27" s="68"/>
      <c r="I27" s="29"/>
      <c r="J27" s="52" t="str">
        <f t="shared" si="2"/>
        <v/>
      </c>
      <c r="K27" s="52" t="str">
        <f t="shared" si="3"/>
        <v/>
      </c>
      <c r="L27" s="71"/>
    </row>
    <row r="28" spans="1:12" x14ac:dyDescent="0.25">
      <c r="A28" s="72" t="str">
        <f t="shared" si="0"/>
        <v/>
      </c>
      <c r="B28" s="68"/>
      <c r="C28" s="68"/>
      <c r="D28" s="51"/>
      <c r="E28" s="69"/>
      <c r="F28" s="70"/>
      <c r="G28" s="57" t="str">
        <f t="shared" si="1"/>
        <v/>
      </c>
      <c r="H28" s="68"/>
      <c r="I28" s="29"/>
      <c r="J28" s="59" t="str">
        <f t="shared" si="2"/>
        <v/>
      </c>
      <c r="K28" s="59" t="str">
        <f t="shared" si="3"/>
        <v/>
      </c>
      <c r="L28" s="71"/>
    </row>
    <row r="30" spans="1:12" ht="21.75" customHeight="1" x14ac:dyDescent="0.25">
      <c r="A30" s="5" t="s">
        <v>171</v>
      </c>
      <c r="B30" s="5"/>
      <c r="C30" s="5"/>
      <c r="D30" s="5"/>
      <c r="E30" s="5"/>
      <c r="F30" s="5"/>
      <c r="G30" s="5"/>
      <c r="H30" s="5"/>
      <c r="I30" s="5"/>
      <c r="J30" s="63">
        <f>SUM(J7:J28)</f>
        <v>12100</v>
      </c>
      <c r="K30" s="63">
        <f>SUM(K7:K28)</f>
        <v>145200</v>
      </c>
      <c r="L30" s="73"/>
    </row>
    <row r="32" spans="1:12" ht="19.5" customHeight="1" x14ac:dyDescent="0.25">
      <c r="B32" s="11" t="s">
        <v>172</v>
      </c>
      <c r="C32" s="11"/>
      <c r="D32" s="11"/>
      <c r="E32" s="11"/>
      <c r="F32" s="11"/>
    </row>
    <row r="33" spans="2:6" x14ac:dyDescent="0.25">
      <c r="B33" s="8" t="s">
        <v>173</v>
      </c>
      <c r="C33" s="8"/>
      <c r="D33" s="8"/>
      <c r="E33" s="4">
        <f>SUMIFS(Fijos_Monto,Fijos_Activo,"Sí",Fijos_Aplica,"Q1")+SUMIFS(Fijos_Monto,Fijos_Activo,"Sí",Fijos_Aplica,"Ambas")</f>
        <v>5700</v>
      </c>
      <c r="F33" s="4"/>
    </row>
    <row r="34" spans="2:6" x14ac:dyDescent="0.25">
      <c r="B34" s="8" t="s">
        <v>174</v>
      </c>
      <c r="C34" s="8"/>
      <c r="D34" s="8"/>
      <c r="E34" s="4">
        <f>SUMIFS(Fijos_Monto,Fijos_Activo,"Sí",Fijos_Aplica,"Q2")+SUMIFS(Fijos_Monto,Fijos_Activo,"Sí",Fijos_Aplica,"Ambas")</f>
        <v>6400</v>
      </c>
      <c r="F34" s="4"/>
    </row>
    <row r="35" spans="2:6" x14ac:dyDescent="0.25">
      <c r="B35" s="8" t="s">
        <v>175</v>
      </c>
      <c r="C35" s="8"/>
      <c r="D35" s="8"/>
      <c r="E35" s="4">
        <f>$J$30</f>
        <v>12100</v>
      </c>
      <c r="F35" s="4"/>
    </row>
    <row r="36" spans="2:6" x14ac:dyDescent="0.25">
      <c r="B36" s="8" t="s">
        <v>176</v>
      </c>
      <c r="C36" s="8"/>
      <c r="D36" s="8"/>
      <c r="E36" s="4">
        <f>$K$30</f>
        <v>145200</v>
      </c>
      <c r="F36" s="4"/>
    </row>
    <row r="37" spans="2:6" x14ac:dyDescent="0.25">
      <c r="B37" s="8" t="s">
        <v>177</v>
      </c>
      <c r="C37" s="8"/>
      <c r="D37" s="8"/>
      <c r="E37" s="3">
        <f>COUNTIFS(Fijos_Activo,"Sí")</f>
        <v>5</v>
      </c>
      <c r="F37" s="3"/>
    </row>
    <row r="38" spans="2:6" x14ac:dyDescent="0.25">
      <c r="B38" s="8" t="s">
        <v>178</v>
      </c>
      <c r="C38" s="8"/>
      <c r="D38" s="8"/>
      <c r="E38" s="3">
        <f>COUNTIFS(Fijos_Activo,"No")</f>
        <v>0</v>
      </c>
      <c r="F38" s="3"/>
    </row>
  </sheetData>
  <autoFilter ref="A6:L28" xr:uid="{00000000-0009-0000-0000-000003000000}"/>
  <mergeCells count="15">
    <mergeCell ref="B37:D37"/>
    <mergeCell ref="E37:F37"/>
    <mergeCell ref="B38:D38"/>
    <mergeCell ref="E38:F38"/>
    <mergeCell ref="B34:D34"/>
    <mergeCell ref="E34:F34"/>
    <mergeCell ref="B35:D35"/>
    <mergeCell ref="E35:F35"/>
    <mergeCell ref="B36:D36"/>
    <mergeCell ref="E36:F36"/>
    <mergeCell ref="A1:L1"/>
    <mergeCell ref="A30:I30"/>
    <mergeCell ref="B32:F32"/>
    <mergeCell ref="B33:D33"/>
    <mergeCell ref="E33:F33"/>
  </mergeCells>
  <conditionalFormatting sqref="A7:L28">
    <cfRule type="expression" dxfId="22" priority="2">
      <formula>$I7="No"</formula>
    </cfRule>
  </conditionalFormatting>
  <dataValidations count="5">
    <dataValidation type="list" allowBlank="1" sqref="B7:B28" xr:uid="{00000000-0002-0000-0300-000000000000}">
      <formula1>Lista_Categorias</formula1>
      <formula2>0</formula2>
    </dataValidation>
    <dataValidation type="list" allowBlank="1" sqref="F7:F28" xr:uid="{00000000-0002-0000-0300-000001000000}">
      <formula1>Lista_Frecuencias</formula1>
      <formula2>0</formula2>
    </dataValidation>
    <dataValidation type="list" allowBlank="1" sqref="H7:H28" xr:uid="{00000000-0002-0000-0300-000002000000}">
      <formula1>Lista_Metodos</formula1>
      <formula2>0</formula2>
    </dataValidation>
    <dataValidation type="list" allowBlank="1" sqref="I7:I28" xr:uid="{00000000-0002-0000-0300-000003000000}">
      <formula1>Lista_SiNo</formula1>
      <formula2>0</formula2>
    </dataValidation>
    <dataValidation type="whole" allowBlank="1" showErrorMessage="1" errorTitle="Día no válido" error="El día de pago va del 1 al 31." sqref="E7:E28" xr:uid="{00000000-0002-0000-0300-000004000000}">
      <formula1>1</formula1>
      <formula2>31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7D32"/>
    <pageSetUpPr fitToPage="1"/>
  </sheetPr>
  <dimension ref="A1:L402"/>
  <sheetViews>
    <sheetView showGridLines="0" zoomScaleNormal="100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K7" sqref="K7"/>
    </sheetView>
  </sheetViews>
  <sheetFormatPr baseColWidth="10" defaultColWidth="8.7109375" defaultRowHeight="15" x14ac:dyDescent="0.25"/>
  <cols>
    <col min="1" max="1" width="5" customWidth="1"/>
    <col min="2" max="2" width="12" customWidth="1"/>
    <col min="3" max="3" width="10" customWidth="1"/>
    <col min="4" max="4" width="7" customWidth="1"/>
    <col min="5" max="5" width="14" customWidth="1"/>
    <col min="6" max="6" width="22" customWidth="1"/>
    <col min="7" max="7" width="30" customWidth="1"/>
    <col min="8" max="8" width="14" customWidth="1"/>
    <col min="9" max="9" width="20" customWidth="1"/>
    <col min="10" max="10" width="13" customWidth="1"/>
    <col min="11" max="11" width="30" customWidth="1"/>
    <col min="12" max="12" width="36" customWidth="1"/>
  </cols>
  <sheetData>
    <row r="1" spans="1:12" ht="27.75" customHeight="1" x14ac:dyDescent="0.25">
      <c r="A1" s="7" t="s">
        <v>179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2" x14ac:dyDescent="0.25">
      <c r="A2" s="28" t="s">
        <v>180</v>
      </c>
    </row>
    <row r="3" spans="1:12" x14ac:dyDescent="0.25">
      <c r="A3" s="28" t="s">
        <v>181</v>
      </c>
    </row>
    <row r="4" spans="1:12" x14ac:dyDescent="0.25">
      <c r="A4" s="28" t="s">
        <v>182</v>
      </c>
    </row>
    <row r="6" spans="1:12" ht="31.5" customHeight="1" x14ac:dyDescent="0.25">
      <c r="A6" s="17" t="s">
        <v>104</v>
      </c>
      <c r="B6" s="17" t="s">
        <v>183</v>
      </c>
      <c r="C6" s="17" t="s">
        <v>184</v>
      </c>
      <c r="D6" s="17" t="s">
        <v>105</v>
      </c>
      <c r="E6" s="17" t="s">
        <v>185</v>
      </c>
      <c r="F6" s="17" t="s">
        <v>143</v>
      </c>
      <c r="G6" s="17" t="s">
        <v>5</v>
      </c>
      <c r="H6" s="17" t="s">
        <v>6</v>
      </c>
      <c r="I6" s="17" t="s">
        <v>148</v>
      </c>
      <c r="J6" s="17" t="s">
        <v>186</v>
      </c>
      <c r="K6" s="17" t="s">
        <v>152</v>
      </c>
      <c r="L6" s="17" t="s">
        <v>187</v>
      </c>
    </row>
    <row r="7" spans="1:12" x14ac:dyDescent="0.25">
      <c r="A7" s="67" t="str">
        <f>IF($B7="","",COUNT($B$7:$B7))</f>
        <v/>
      </c>
      <c r="B7" s="74"/>
      <c r="C7" s="50" t="str">
        <f>IF($B7="","",IFERROR(MATCH($B7,Quincenas!$E$7:$E$30,1),""))</f>
        <v/>
      </c>
      <c r="D7" s="50" t="str">
        <f t="shared" ref="D7:D66" si="0">IF($B7="","",MONTH($B7))</f>
        <v/>
      </c>
      <c r="E7" s="68" t="s">
        <v>190</v>
      </c>
      <c r="F7" s="68" t="s">
        <v>193</v>
      </c>
      <c r="G7" s="68" t="s">
        <v>269</v>
      </c>
      <c r="H7" s="51"/>
      <c r="I7" s="68"/>
      <c r="J7" s="70"/>
      <c r="K7" s="71"/>
      <c r="L7" s="75" t="str">
        <f t="shared" ref="L7:L66" si="1">IF($B7="","",IF($C7="","La fecha está fuera del año configurado",IF($E7="","Falta indicar el tipo",IF($H7="","Falta el monto",IF($F7="","Falta la categoría",IF(AND($E7="Fijo",COUNTIF(Fijos_Concepto,$G7)=0),"El concepto no existe en la hoja Fijos",IF($J7="Pendiente","Movimiento pendiente de pago","OK")))))))</f>
        <v/>
      </c>
    </row>
    <row r="8" spans="1:12" x14ac:dyDescent="0.25">
      <c r="A8" s="72" t="str">
        <f>IF($B8="","",COUNT($B$7:$B8))</f>
        <v/>
      </c>
      <c r="B8" s="74"/>
      <c r="C8" s="56" t="str">
        <f>IF($B8="","",IFERROR(MATCH($B8,Quincenas!$E$7:$E$30,1),""))</f>
        <v/>
      </c>
      <c r="D8" s="56" t="str">
        <f t="shared" si="0"/>
        <v/>
      </c>
      <c r="E8" s="68"/>
      <c r="F8" s="68"/>
      <c r="G8" s="68"/>
      <c r="H8" s="51"/>
      <c r="I8" s="68"/>
      <c r="J8" s="70"/>
      <c r="K8" s="71"/>
      <c r="L8" s="76" t="str">
        <f t="shared" si="1"/>
        <v/>
      </c>
    </row>
    <row r="9" spans="1:12" x14ac:dyDescent="0.25">
      <c r="A9" s="67" t="str">
        <f>IF($B9="","",COUNT($B$7:$B9))</f>
        <v/>
      </c>
      <c r="B9" s="74"/>
      <c r="C9" s="50" t="str">
        <f>IF($B9="","",IFERROR(MATCH($B9,Quincenas!$E$7:$E$30,1),""))</f>
        <v/>
      </c>
      <c r="D9" s="50" t="str">
        <f t="shared" si="0"/>
        <v/>
      </c>
      <c r="E9" s="68"/>
      <c r="F9" s="68"/>
      <c r="G9" s="68"/>
      <c r="H9" s="51"/>
      <c r="I9" s="68"/>
      <c r="J9" s="70"/>
      <c r="K9" s="71"/>
      <c r="L9" s="75" t="str">
        <f t="shared" si="1"/>
        <v/>
      </c>
    </row>
    <row r="10" spans="1:12" x14ac:dyDescent="0.25">
      <c r="A10" s="72" t="str">
        <f>IF($B10="","",COUNT($B$7:$B10))</f>
        <v/>
      </c>
      <c r="B10" s="74"/>
      <c r="C10" s="56" t="str">
        <f>IF($B10="","",IFERROR(MATCH($B10,Quincenas!$E$7:$E$30,1),""))</f>
        <v/>
      </c>
      <c r="D10" s="56" t="str">
        <f t="shared" si="0"/>
        <v/>
      </c>
      <c r="E10" s="68"/>
      <c r="F10" s="68"/>
      <c r="G10" s="68"/>
      <c r="H10" s="51"/>
      <c r="I10" s="68"/>
      <c r="J10" s="70"/>
      <c r="K10" s="71"/>
      <c r="L10" s="76" t="str">
        <f t="shared" si="1"/>
        <v/>
      </c>
    </row>
    <row r="11" spans="1:12" x14ac:dyDescent="0.25">
      <c r="A11" s="67" t="str">
        <f>IF($B11="","",COUNT($B$7:$B11))</f>
        <v/>
      </c>
      <c r="B11" s="74"/>
      <c r="C11" s="50" t="str">
        <f>IF($B11="","",IFERROR(MATCH($B11,Quincenas!$E$7:$E$30,1),""))</f>
        <v/>
      </c>
      <c r="D11" s="50" t="str">
        <f t="shared" si="0"/>
        <v/>
      </c>
      <c r="E11" s="68"/>
      <c r="F11" s="68"/>
      <c r="G11" s="68"/>
      <c r="H11" s="51"/>
      <c r="I11" s="68"/>
      <c r="J11" s="70"/>
      <c r="K11" s="71"/>
      <c r="L11" s="75" t="str">
        <f t="shared" si="1"/>
        <v/>
      </c>
    </row>
    <row r="12" spans="1:12" x14ac:dyDescent="0.25">
      <c r="A12" s="72" t="str">
        <f>IF($B12="","",COUNT($B$7:$B12))</f>
        <v/>
      </c>
      <c r="B12" s="74"/>
      <c r="C12" s="56" t="str">
        <f>IF($B12="","",IFERROR(MATCH($B12,Quincenas!$E$7:$E$30,1),""))</f>
        <v/>
      </c>
      <c r="D12" s="56" t="str">
        <f t="shared" si="0"/>
        <v/>
      </c>
      <c r="E12" s="68"/>
      <c r="F12" s="68"/>
      <c r="G12" s="68"/>
      <c r="H12" s="51"/>
      <c r="I12" s="68"/>
      <c r="J12" s="70"/>
      <c r="K12" s="71"/>
      <c r="L12" s="76" t="str">
        <f t="shared" si="1"/>
        <v/>
      </c>
    </row>
    <row r="13" spans="1:12" x14ac:dyDescent="0.25">
      <c r="A13" s="67" t="str">
        <f>IF($B13="","",COUNT($B$7:$B13))</f>
        <v/>
      </c>
      <c r="B13" s="74"/>
      <c r="C13" s="50" t="str">
        <f>IF($B13="","",IFERROR(MATCH($B13,Quincenas!$E$7:$E$30,1),""))</f>
        <v/>
      </c>
      <c r="D13" s="50" t="str">
        <f t="shared" si="0"/>
        <v/>
      </c>
      <c r="E13" s="68"/>
      <c r="F13" s="68"/>
      <c r="G13" s="68"/>
      <c r="H13" s="51"/>
      <c r="I13" s="68"/>
      <c r="J13" s="70"/>
      <c r="K13" s="71"/>
      <c r="L13" s="75" t="str">
        <f t="shared" si="1"/>
        <v/>
      </c>
    </row>
    <row r="14" spans="1:12" x14ac:dyDescent="0.25">
      <c r="A14" s="72" t="str">
        <f>IF($B14="","",COUNT($B$7:$B14))</f>
        <v/>
      </c>
      <c r="B14" s="74"/>
      <c r="C14" s="56" t="str">
        <f>IF($B14="","",IFERROR(MATCH($B14,Quincenas!$E$7:$E$30,1),""))</f>
        <v/>
      </c>
      <c r="D14" s="56" t="str">
        <f t="shared" si="0"/>
        <v/>
      </c>
      <c r="E14" s="68"/>
      <c r="F14" s="68"/>
      <c r="G14" s="68"/>
      <c r="H14" s="51"/>
      <c r="I14" s="68"/>
      <c r="J14" s="70"/>
      <c r="K14" s="71"/>
      <c r="L14" s="76" t="str">
        <f t="shared" si="1"/>
        <v/>
      </c>
    </row>
    <row r="15" spans="1:12" x14ac:dyDescent="0.25">
      <c r="A15" s="67" t="str">
        <f>IF($B15="","",COUNT($B$7:$B15))</f>
        <v/>
      </c>
      <c r="B15" s="74"/>
      <c r="C15" s="50" t="str">
        <f>IF($B15="","",IFERROR(MATCH($B15,Quincenas!$E$7:$E$30,1),""))</f>
        <v/>
      </c>
      <c r="D15" s="50" t="str">
        <f t="shared" si="0"/>
        <v/>
      </c>
      <c r="E15" s="68"/>
      <c r="F15" s="68"/>
      <c r="G15" s="68"/>
      <c r="H15" s="51"/>
      <c r="I15" s="68"/>
      <c r="J15" s="70"/>
      <c r="K15" s="71"/>
      <c r="L15" s="75" t="str">
        <f t="shared" si="1"/>
        <v/>
      </c>
    </row>
    <row r="16" spans="1:12" x14ac:dyDescent="0.25">
      <c r="A16" s="72" t="str">
        <f>IF($B16="","",COUNT($B$7:$B16))</f>
        <v/>
      </c>
      <c r="B16" s="74"/>
      <c r="C16" s="56" t="str">
        <f>IF($B16="","",IFERROR(MATCH($B16,Quincenas!$E$7:$E$30,1),""))</f>
        <v/>
      </c>
      <c r="D16" s="56" t="str">
        <f t="shared" si="0"/>
        <v/>
      </c>
      <c r="E16" s="68"/>
      <c r="F16" s="68"/>
      <c r="G16" s="68"/>
      <c r="H16" s="51"/>
      <c r="I16" s="68"/>
      <c r="J16" s="70"/>
      <c r="K16" s="71"/>
      <c r="L16" s="76" t="str">
        <f t="shared" si="1"/>
        <v/>
      </c>
    </row>
    <row r="17" spans="1:12" x14ac:dyDescent="0.25">
      <c r="A17" s="67" t="str">
        <f>IF($B17="","",COUNT($B$7:$B17))</f>
        <v/>
      </c>
      <c r="B17" s="74"/>
      <c r="C17" s="50" t="str">
        <f>IF($B17="","",IFERROR(MATCH($B17,Quincenas!$E$7:$E$30,1),""))</f>
        <v/>
      </c>
      <c r="D17" s="50" t="str">
        <f t="shared" si="0"/>
        <v/>
      </c>
      <c r="E17" s="68"/>
      <c r="F17" s="68"/>
      <c r="G17" s="68"/>
      <c r="H17" s="51"/>
      <c r="I17" s="68"/>
      <c r="J17" s="70"/>
      <c r="K17" s="71"/>
      <c r="L17" s="75" t="str">
        <f t="shared" si="1"/>
        <v/>
      </c>
    </row>
    <row r="18" spans="1:12" x14ac:dyDescent="0.25">
      <c r="A18" s="72" t="str">
        <f>IF($B18="","",COUNT($B$7:$B18))</f>
        <v/>
      </c>
      <c r="B18" s="74"/>
      <c r="C18" s="56" t="str">
        <f>IF($B18="","",IFERROR(MATCH($B18,Quincenas!$E$7:$E$30,1),""))</f>
        <v/>
      </c>
      <c r="D18" s="56" t="str">
        <f t="shared" si="0"/>
        <v/>
      </c>
      <c r="E18" s="68"/>
      <c r="F18" s="68"/>
      <c r="G18" s="68"/>
      <c r="H18" s="51"/>
      <c r="I18" s="68"/>
      <c r="J18" s="70"/>
      <c r="K18" s="71"/>
      <c r="L18" s="76" t="str">
        <f t="shared" si="1"/>
        <v/>
      </c>
    </row>
    <row r="19" spans="1:12" x14ac:dyDescent="0.25">
      <c r="A19" s="67" t="str">
        <f>IF($B19="","",COUNT($B$7:$B19))</f>
        <v/>
      </c>
      <c r="B19" s="74"/>
      <c r="C19" s="50" t="str">
        <f>IF($B19="","",IFERROR(MATCH($B19,Quincenas!$E$7:$E$30,1),""))</f>
        <v/>
      </c>
      <c r="D19" s="50" t="str">
        <f t="shared" si="0"/>
        <v/>
      </c>
      <c r="E19" s="68"/>
      <c r="F19" s="68"/>
      <c r="G19" s="68"/>
      <c r="H19" s="51"/>
      <c r="I19" s="68"/>
      <c r="J19" s="70"/>
      <c r="K19" s="71"/>
      <c r="L19" s="75" t="str">
        <f t="shared" si="1"/>
        <v/>
      </c>
    </row>
    <row r="20" spans="1:12" x14ac:dyDescent="0.25">
      <c r="A20" s="72" t="str">
        <f>IF($B20="","",COUNT($B$7:$B20))</f>
        <v/>
      </c>
      <c r="B20" s="74"/>
      <c r="C20" s="56" t="str">
        <f>IF($B20="","",IFERROR(MATCH($B20,Quincenas!$E$7:$E$30,1),""))</f>
        <v/>
      </c>
      <c r="D20" s="56" t="str">
        <f t="shared" si="0"/>
        <v/>
      </c>
      <c r="E20" s="68"/>
      <c r="F20" s="68"/>
      <c r="G20" s="68"/>
      <c r="H20" s="51"/>
      <c r="I20" s="68"/>
      <c r="J20" s="70"/>
      <c r="K20" s="71"/>
      <c r="L20" s="76" t="str">
        <f t="shared" si="1"/>
        <v/>
      </c>
    </row>
    <row r="21" spans="1:12" x14ac:dyDescent="0.25">
      <c r="A21" s="67" t="str">
        <f>IF($B21="","",COUNT($B$7:$B21))</f>
        <v/>
      </c>
      <c r="B21" s="74"/>
      <c r="C21" s="50" t="str">
        <f>IF($B21="","",IFERROR(MATCH($B21,Quincenas!$E$7:$E$30,1),""))</f>
        <v/>
      </c>
      <c r="D21" s="50" t="str">
        <f t="shared" si="0"/>
        <v/>
      </c>
      <c r="E21" s="68"/>
      <c r="F21" s="68"/>
      <c r="G21" s="68"/>
      <c r="H21" s="51"/>
      <c r="I21" s="68"/>
      <c r="J21" s="70"/>
      <c r="K21" s="71"/>
      <c r="L21" s="75" t="str">
        <f t="shared" si="1"/>
        <v/>
      </c>
    </row>
    <row r="22" spans="1:12" x14ac:dyDescent="0.25">
      <c r="A22" s="72" t="str">
        <f>IF($B22="","",COUNT($B$7:$B22))</f>
        <v/>
      </c>
      <c r="B22" s="74"/>
      <c r="C22" s="56" t="str">
        <f>IF($B22="","",IFERROR(MATCH($B22,Quincenas!$E$7:$E$30,1),""))</f>
        <v/>
      </c>
      <c r="D22" s="56" t="str">
        <f t="shared" si="0"/>
        <v/>
      </c>
      <c r="E22" s="68"/>
      <c r="F22" s="68"/>
      <c r="G22" s="68"/>
      <c r="H22" s="51"/>
      <c r="I22" s="68"/>
      <c r="J22" s="70"/>
      <c r="K22" s="71"/>
      <c r="L22" s="76" t="str">
        <f t="shared" si="1"/>
        <v/>
      </c>
    </row>
    <row r="23" spans="1:12" x14ac:dyDescent="0.25">
      <c r="A23" s="67" t="str">
        <f>IF($B23="","",COUNT($B$7:$B23))</f>
        <v/>
      </c>
      <c r="B23" s="74"/>
      <c r="C23" s="50" t="str">
        <f>IF($B23="","",IFERROR(MATCH($B23,Quincenas!$E$7:$E$30,1),""))</f>
        <v/>
      </c>
      <c r="D23" s="50" t="str">
        <f t="shared" si="0"/>
        <v/>
      </c>
      <c r="E23" s="68"/>
      <c r="F23" s="68"/>
      <c r="G23" s="68"/>
      <c r="H23" s="51"/>
      <c r="I23" s="68"/>
      <c r="J23" s="70"/>
      <c r="K23" s="71"/>
      <c r="L23" s="75" t="str">
        <f t="shared" si="1"/>
        <v/>
      </c>
    </row>
    <row r="24" spans="1:12" x14ac:dyDescent="0.25">
      <c r="A24" s="72" t="str">
        <f>IF($B24="","",COUNT($B$7:$B24))</f>
        <v/>
      </c>
      <c r="B24" s="74"/>
      <c r="C24" s="56" t="str">
        <f>IF($B24="","",IFERROR(MATCH($B24,Quincenas!$E$7:$E$30,1),""))</f>
        <v/>
      </c>
      <c r="D24" s="56" t="str">
        <f t="shared" si="0"/>
        <v/>
      </c>
      <c r="E24" s="68"/>
      <c r="F24" s="68"/>
      <c r="G24" s="68"/>
      <c r="H24" s="51"/>
      <c r="I24" s="68"/>
      <c r="J24" s="70"/>
      <c r="K24" s="71"/>
      <c r="L24" s="76" t="str">
        <f t="shared" si="1"/>
        <v/>
      </c>
    </row>
    <row r="25" spans="1:12" x14ac:dyDescent="0.25">
      <c r="A25" s="67" t="str">
        <f>IF($B25="","",COUNT($B$7:$B25))</f>
        <v/>
      </c>
      <c r="B25" s="74"/>
      <c r="C25" s="50" t="str">
        <f>IF($B25="","",IFERROR(MATCH($B25,Quincenas!$E$7:$E$30,1),""))</f>
        <v/>
      </c>
      <c r="D25" s="50" t="str">
        <f t="shared" si="0"/>
        <v/>
      </c>
      <c r="E25" s="68"/>
      <c r="F25" s="68"/>
      <c r="G25" s="68"/>
      <c r="H25" s="51"/>
      <c r="I25" s="68"/>
      <c r="J25" s="70"/>
      <c r="K25" s="71"/>
      <c r="L25" s="75" t="str">
        <f t="shared" si="1"/>
        <v/>
      </c>
    </row>
    <row r="26" spans="1:12" x14ac:dyDescent="0.25">
      <c r="A26" s="72" t="str">
        <f>IF($B26="","",COUNT($B$7:$B26))</f>
        <v/>
      </c>
      <c r="B26" s="74"/>
      <c r="C26" s="56" t="str">
        <f>IF($B26="","",IFERROR(MATCH($B26,Quincenas!$E$7:$E$30,1),""))</f>
        <v/>
      </c>
      <c r="D26" s="56" t="str">
        <f t="shared" si="0"/>
        <v/>
      </c>
      <c r="E26" s="68"/>
      <c r="F26" s="68"/>
      <c r="G26" s="68"/>
      <c r="H26" s="51"/>
      <c r="I26" s="68"/>
      <c r="J26" s="70"/>
      <c r="K26" s="71"/>
      <c r="L26" s="76" t="str">
        <f t="shared" si="1"/>
        <v/>
      </c>
    </row>
    <row r="27" spans="1:12" x14ac:dyDescent="0.25">
      <c r="A27" s="67" t="str">
        <f>IF($B27="","",COUNT($B$7:$B27))</f>
        <v/>
      </c>
      <c r="B27" s="74"/>
      <c r="C27" s="50" t="str">
        <f>IF($B27="","",IFERROR(MATCH($B27,Quincenas!$E$7:$E$30,1),""))</f>
        <v/>
      </c>
      <c r="D27" s="50" t="str">
        <f t="shared" si="0"/>
        <v/>
      </c>
      <c r="E27" s="68"/>
      <c r="F27" s="68"/>
      <c r="G27" s="68"/>
      <c r="H27" s="51"/>
      <c r="I27" s="68"/>
      <c r="J27" s="70"/>
      <c r="K27" s="71"/>
      <c r="L27" s="75" t="str">
        <f t="shared" si="1"/>
        <v/>
      </c>
    </row>
    <row r="28" spans="1:12" x14ac:dyDescent="0.25">
      <c r="A28" s="72" t="str">
        <f>IF($B28="","",COUNT($B$7:$B28))</f>
        <v/>
      </c>
      <c r="B28" s="74"/>
      <c r="C28" s="56" t="str">
        <f>IF($B28="","",IFERROR(MATCH($B28,Quincenas!$E$7:$E$30,1),""))</f>
        <v/>
      </c>
      <c r="D28" s="56" t="str">
        <f t="shared" si="0"/>
        <v/>
      </c>
      <c r="E28" s="68"/>
      <c r="F28" s="68"/>
      <c r="G28" s="68"/>
      <c r="H28" s="51"/>
      <c r="I28" s="68"/>
      <c r="J28" s="70"/>
      <c r="K28" s="71"/>
      <c r="L28" s="76" t="str">
        <f t="shared" si="1"/>
        <v/>
      </c>
    </row>
    <row r="29" spans="1:12" x14ac:dyDescent="0.25">
      <c r="A29" s="67" t="str">
        <f>IF($B29="","",COUNT($B$7:$B29))</f>
        <v/>
      </c>
      <c r="B29" s="74"/>
      <c r="C29" s="50" t="str">
        <f>IF($B29="","",IFERROR(MATCH($B29,Quincenas!$E$7:$E$30,1),""))</f>
        <v/>
      </c>
      <c r="D29" s="50" t="str">
        <f t="shared" si="0"/>
        <v/>
      </c>
      <c r="E29" s="68"/>
      <c r="F29" s="68"/>
      <c r="G29" s="68"/>
      <c r="H29" s="51"/>
      <c r="I29" s="68"/>
      <c r="J29" s="70"/>
      <c r="K29" s="71"/>
      <c r="L29" s="75" t="str">
        <f t="shared" si="1"/>
        <v/>
      </c>
    </row>
    <row r="30" spans="1:12" x14ac:dyDescent="0.25">
      <c r="A30" s="72" t="str">
        <f>IF($B30="","",COUNT($B$7:$B30))</f>
        <v/>
      </c>
      <c r="B30" s="74"/>
      <c r="C30" s="56" t="str">
        <f>IF($B30="","",IFERROR(MATCH($B30,Quincenas!$E$7:$E$30,1),""))</f>
        <v/>
      </c>
      <c r="D30" s="56" t="str">
        <f t="shared" si="0"/>
        <v/>
      </c>
      <c r="E30" s="68"/>
      <c r="F30" s="68"/>
      <c r="G30" s="68"/>
      <c r="H30" s="51"/>
      <c r="I30" s="68"/>
      <c r="J30" s="70"/>
      <c r="K30" s="71"/>
      <c r="L30" s="76" t="str">
        <f t="shared" si="1"/>
        <v/>
      </c>
    </row>
    <row r="31" spans="1:12" x14ac:dyDescent="0.25">
      <c r="A31" s="67" t="str">
        <f>IF($B31="","",COUNT($B$7:$B31))</f>
        <v/>
      </c>
      <c r="B31" s="74"/>
      <c r="C31" s="50" t="str">
        <f>IF($B31="","",IFERROR(MATCH($B31,Quincenas!$E$7:$E$30,1),""))</f>
        <v/>
      </c>
      <c r="D31" s="50" t="str">
        <f t="shared" si="0"/>
        <v/>
      </c>
      <c r="E31" s="68"/>
      <c r="F31" s="68"/>
      <c r="G31" s="68"/>
      <c r="H31" s="51"/>
      <c r="I31" s="68"/>
      <c r="J31" s="70"/>
      <c r="K31" s="71"/>
      <c r="L31" s="75" t="str">
        <f t="shared" si="1"/>
        <v/>
      </c>
    </row>
    <row r="32" spans="1:12" x14ac:dyDescent="0.25">
      <c r="A32" s="72" t="str">
        <f>IF($B32="","",COUNT($B$7:$B32))</f>
        <v/>
      </c>
      <c r="B32" s="74"/>
      <c r="C32" s="56" t="str">
        <f>IF($B32="","",IFERROR(MATCH($B32,Quincenas!$E$7:$E$30,1),""))</f>
        <v/>
      </c>
      <c r="D32" s="56" t="str">
        <f t="shared" si="0"/>
        <v/>
      </c>
      <c r="E32" s="68"/>
      <c r="F32" s="68"/>
      <c r="G32" s="68"/>
      <c r="H32" s="51"/>
      <c r="I32" s="68"/>
      <c r="J32" s="70"/>
      <c r="K32" s="71"/>
      <c r="L32" s="76" t="str">
        <f t="shared" si="1"/>
        <v/>
      </c>
    </row>
    <row r="33" spans="1:12" x14ac:dyDescent="0.25">
      <c r="A33" s="67" t="str">
        <f>IF($B33="","",COUNT($B$7:$B33))</f>
        <v/>
      </c>
      <c r="B33" s="74"/>
      <c r="C33" s="50" t="str">
        <f>IF($B33="","",IFERROR(MATCH($B33,Quincenas!$E$7:$E$30,1),""))</f>
        <v/>
      </c>
      <c r="D33" s="50" t="str">
        <f t="shared" si="0"/>
        <v/>
      </c>
      <c r="E33" s="68"/>
      <c r="F33" s="68"/>
      <c r="G33" s="68"/>
      <c r="H33" s="51"/>
      <c r="I33" s="68"/>
      <c r="J33" s="70"/>
      <c r="K33" s="71"/>
      <c r="L33" s="75" t="str">
        <f t="shared" si="1"/>
        <v/>
      </c>
    </row>
    <row r="34" spans="1:12" x14ac:dyDescent="0.25">
      <c r="A34" s="72" t="str">
        <f>IF($B34="","",COUNT($B$7:$B34))</f>
        <v/>
      </c>
      <c r="B34" s="74"/>
      <c r="C34" s="56" t="str">
        <f>IF($B34="","",IFERROR(MATCH($B34,Quincenas!$E$7:$E$30,1),""))</f>
        <v/>
      </c>
      <c r="D34" s="56" t="str">
        <f t="shared" si="0"/>
        <v/>
      </c>
      <c r="E34" s="68"/>
      <c r="F34" s="68"/>
      <c r="G34" s="68"/>
      <c r="H34" s="51"/>
      <c r="I34" s="68"/>
      <c r="J34" s="70"/>
      <c r="K34" s="71"/>
      <c r="L34" s="76" t="str">
        <f t="shared" si="1"/>
        <v/>
      </c>
    </row>
    <row r="35" spans="1:12" x14ac:dyDescent="0.25">
      <c r="A35" s="67" t="str">
        <f>IF($B35="","",COUNT($B$7:$B35))</f>
        <v/>
      </c>
      <c r="B35" s="74"/>
      <c r="C35" s="50" t="str">
        <f>IF($B35="","",IFERROR(MATCH($B35,Quincenas!$E$7:$E$30,1),""))</f>
        <v/>
      </c>
      <c r="D35" s="50" t="str">
        <f t="shared" si="0"/>
        <v/>
      </c>
      <c r="E35" s="68"/>
      <c r="F35" s="68"/>
      <c r="G35" s="68"/>
      <c r="H35" s="51"/>
      <c r="I35" s="68"/>
      <c r="J35" s="70"/>
      <c r="K35" s="71"/>
      <c r="L35" s="75" t="str">
        <f t="shared" si="1"/>
        <v/>
      </c>
    </row>
    <row r="36" spans="1:12" x14ac:dyDescent="0.25">
      <c r="A36" s="72" t="str">
        <f>IF($B36="","",COUNT($B$7:$B36))</f>
        <v/>
      </c>
      <c r="B36" s="74"/>
      <c r="C36" s="56" t="str">
        <f>IF($B36="","",IFERROR(MATCH($B36,Quincenas!$E$7:$E$30,1),""))</f>
        <v/>
      </c>
      <c r="D36" s="56" t="str">
        <f t="shared" si="0"/>
        <v/>
      </c>
      <c r="E36" s="68"/>
      <c r="F36" s="68"/>
      <c r="G36" s="68"/>
      <c r="H36" s="51"/>
      <c r="I36" s="68"/>
      <c r="J36" s="70"/>
      <c r="K36" s="71"/>
      <c r="L36" s="76" t="str">
        <f t="shared" si="1"/>
        <v/>
      </c>
    </row>
    <row r="37" spans="1:12" x14ac:dyDescent="0.25">
      <c r="A37" s="67" t="str">
        <f>IF($B37="","",COUNT($B$7:$B37))</f>
        <v/>
      </c>
      <c r="B37" s="74"/>
      <c r="C37" s="50" t="str">
        <f>IF($B37="","",IFERROR(MATCH($B37,Quincenas!$E$7:$E$30,1),""))</f>
        <v/>
      </c>
      <c r="D37" s="50" t="str">
        <f t="shared" si="0"/>
        <v/>
      </c>
      <c r="E37" s="68"/>
      <c r="F37" s="68"/>
      <c r="G37" s="68"/>
      <c r="H37" s="51"/>
      <c r="I37" s="68"/>
      <c r="J37" s="70"/>
      <c r="K37" s="71"/>
      <c r="L37" s="75" t="str">
        <f t="shared" si="1"/>
        <v/>
      </c>
    </row>
    <row r="38" spans="1:12" x14ac:dyDescent="0.25">
      <c r="A38" s="72" t="str">
        <f>IF($B38="","",COUNT($B$7:$B38))</f>
        <v/>
      </c>
      <c r="B38" s="74"/>
      <c r="C38" s="56" t="str">
        <f>IF($B38="","",IFERROR(MATCH($B38,Quincenas!$E$7:$E$30,1),""))</f>
        <v/>
      </c>
      <c r="D38" s="56" t="str">
        <f t="shared" si="0"/>
        <v/>
      </c>
      <c r="E38" s="68"/>
      <c r="F38" s="68"/>
      <c r="G38" s="68"/>
      <c r="H38" s="51"/>
      <c r="I38" s="68"/>
      <c r="J38" s="70"/>
      <c r="K38" s="71"/>
      <c r="L38" s="76" t="str">
        <f t="shared" si="1"/>
        <v/>
      </c>
    </row>
    <row r="39" spans="1:12" x14ac:dyDescent="0.25">
      <c r="A39" s="67" t="str">
        <f>IF($B39="","",COUNT($B$7:$B39))</f>
        <v/>
      </c>
      <c r="B39" s="74"/>
      <c r="C39" s="50" t="str">
        <f>IF($B39="","",IFERROR(MATCH($B39,Quincenas!$E$7:$E$30,1),""))</f>
        <v/>
      </c>
      <c r="D39" s="50" t="str">
        <f t="shared" si="0"/>
        <v/>
      </c>
      <c r="E39" s="68"/>
      <c r="F39" s="68"/>
      <c r="G39" s="68"/>
      <c r="H39" s="51"/>
      <c r="I39" s="68"/>
      <c r="J39" s="70"/>
      <c r="K39" s="71"/>
      <c r="L39" s="75" t="str">
        <f t="shared" si="1"/>
        <v/>
      </c>
    </row>
    <row r="40" spans="1:12" x14ac:dyDescent="0.25">
      <c r="A40" s="72" t="str">
        <f>IF($B40="","",COUNT($B$7:$B40))</f>
        <v/>
      </c>
      <c r="B40" s="74"/>
      <c r="C40" s="56" t="str">
        <f>IF($B40="","",IFERROR(MATCH($B40,Quincenas!$E$7:$E$30,1),""))</f>
        <v/>
      </c>
      <c r="D40" s="56" t="str">
        <f t="shared" si="0"/>
        <v/>
      </c>
      <c r="E40" s="68"/>
      <c r="F40" s="68"/>
      <c r="G40" s="68"/>
      <c r="H40" s="51"/>
      <c r="I40" s="68"/>
      <c r="J40" s="70"/>
      <c r="K40" s="71"/>
      <c r="L40" s="76" t="str">
        <f t="shared" si="1"/>
        <v/>
      </c>
    </row>
    <row r="41" spans="1:12" x14ac:dyDescent="0.25">
      <c r="A41" s="67" t="str">
        <f>IF($B41="","",COUNT($B$7:$B41))</f>
        <v/>
      </c>
      <c r="B41" s="74"/>
      <c r="C41" s="50" t="str">
        <f>IF($B41="","",IFERROR(MATCH($B41,Quincenas!$E$7:$E$30,1),""))</f>
        <v/>
      </c>
      <c r="D41" s="50" t="str">
        <f t="shared" si="0"/>
        <v/>
      </c>
      <c r="E41" s="68"/>
      <c r="F41" s="68"/>
      <c r="G41" s="68"/>
      <c r="H41" s="51"/>
      <c r="I41" s="68"/>
      <c r="J41" s="70"/>
      <c r="K41" s="71"/>
      <c r="L41" s="75" t="str">
        <f t="shared" si="1"/>
        <v/>
      </c>
    </row>
    <row r="42" spans="1:12" x14ac:dyDescent="0.25">
      <c r="A42" s="72" t="str">
        <f>IF($B42="","",COUNT($B$7:$B42))</f>
        <v/>
      </c>
      <c r="B42" s="74"/>
      <c r="C42" s="56" t="str">
        <f>IF($B42="","",IFERROR(MATCH($B42,Quincenas!$E$7:$E$30,1),""))</f>
        <v/>
      </c>
      <c r="D42" s="56" t="str">
        <f t="shared" si="0"/>
        <v/>
      </c>
      <c r="E42" s="68"/>
      <c r="F42" s="68"/>
      <c r="G42" s="68"/>
      <c r="H42" s="51"/>
      <c r="I42" s="68"/>
      <c r="J42" s="70"/>
      <c r="K42" s="71"/>
      <c r="L42" s="76" t="str">
        <f t="shared" si="1"/>
        <v/>
      </c>
    </row>
    <row r="43" spans="1:12" x14ac:dyDescent="0.25">
      <c r="A43" s="67" t="str">
        <f>IF($B43="","",COUNT($B$7:$B43))</f>
        <v/>
      </c>
      <c r="B43" s="74"/>
      <c r="C43" s="50" t="str">
        <f>IF($B43="","",IFERROR(MATCH($B43,Quincenas!$E$7:$E$30,1),""))</f>
        <v/>
      </c>
      <c r="D43" s="50" t="str">
        <f t="shared" si="0"/>
        <v/>
      </c>
      <c r="E43" s="68"/>
      <c r="F43" s="68"/>
      <c r="G43" s="68"/>
      <c r="H43" s="51"/>
      <c r="I43" s="68"/>
      <c r="J43" s="70"/>
      <c r="K43" s="71"/>
      <c r="L43" s="75" t="str">
        <f t="shared" si="1"/>
        <v/>
      </c>
    </row>
    <row r="44" spans="1:12" x14ac:dyDescent="0.25">
      <c r="A44" s="72" t="str">
        <f>IF($B44="","",COUNT($B$7:$B44))</f>
        <v/>
      </c>
      <c r="B44" s="74"/>
      <c r="C44" s="56" t="str">
        <f>IF($B44="","",IFERROR(MATCH($B44,Quincenas!$E$7:$E$30,1),""))</f>
        <v/>
      </c>
      <c r="D44" s="56" t="str">
        <f t="shared" si="0"/>
        <v/>
      </c>
      <c r="E44" s="68"/>
      <c r="F44" s="68"/>
      <c r="G44" s="68"/>
      <c r="H44" s="51"/>
      <c r="I44" s="68"/>
      <c r="J44" s="70"/>
      <c r="K44" s="71"/>
      <c r="L44" s="76" t="str">
        <f t="shared" si="1"/>
        <v/>
      </c>
    </row>
    <row r="45" spans="1:12" x14ac:dyDescent="0.25">
      <c r="A45" s="67" t="str">
        <f>IF($B45="","",COUNT($B$7:$B45))</f>
        <v/>
      </c>
      <c r="B45" s="74"/>
      <c r="C45" s="50" t="str">
        <f>IF($B45="","",IFERROR(MATCH($B45,Quincenas!$E$7:$E$30,1),""))</f>
        <v/>
      </c>
      <c r="D45" s="50" t="str">
        <f t="shared" si="0"/>
        <v/>
      </c>
      <c r="E45" s="68"/>
      <c r="F45" s="68"/>
      <c r="G45" s="68"/>
      <c r="H45" s="51"/>
      <c r="I45" s="68"/>
      <c r="J45" s="70"/>
      <c r="K45" s="71"/>
      <c r="L45" s="75" t="str">
        <f t="shared" si="1"/>
        <v/>
      </c>
    </row>
    <row r="46" spans="1:12" x14ac:dyDescent="0.25">
      <c r="A46" s="72" t="str">
        <f>IF($B46="","",COUNT($B$7:$B46))</f>
        <v/>
      </c>
      <c r="B46" s="74"/>
      <c r="C46" s="56" t="str">
        <f>IF($B46="","",IFERROR(MATCH($B46,Quincenas!$E$7:$E$30,1),""))</f>
        <v/>
      </c>
      <c r="D46" s="56" t="str">
        <f t="shared" si="0"/>
        <v/>
      </c>
      <c r="E46" s="68"/>
      <c r="F46" s="68"/>
      <c r="G46" s="68"/>
      <c r="H46" s="51"/>
      <c r="I46" s="68"/>
      <c r="J46" s="70"/>
      <c r="K46" s="71"/>
      <c r="L46" s="76" t="str">
        <f t="shared" si="1"/>
        <v/>
      </c>
    </row>
    <row r="47" spans="1:12" x14ac:dyDescent="0.25">
      <c r="A47" s="67" t="str">
        <f>IF($B47="","",COUNT($B$7:$B47))</f>
        <v/>
      </c>
      <c r="B47" s="74"/>
      <c r="C47" s="50" t="str">
        <f>IF($B47="","",IFERROR(MATCH($B47,Quincenas!$E$7:$E$30,1),""))</f>
        <v/>
      </c>
      <c r="D47" s="50" t="str">
        <f t="shared" si="0"/>
        <v/>
      </c>
      <c r="E47" s="68"/>
      <c r="F47" s="68"/>
      <c r="G47" s="68"/>
      <c r="H47" s="51"/>
      <c r="I47" s="68"/>
      <c r="J47" s="70"/>
      <c r="K47" s="71"/>
      <c r="L47" s="75" t="str">
        <f t="shared" si="1"/>
        <v/>
      </c>
    </row>
    <row r="48" spans="1:12" x14ac:dyDescent="0.25">
      <c r="A48" s="72" t="str">
        <f>IF($B48="","",COUNT($B$7:$B48))</f>
        <v/>
      </c>
      <c r="B48" s="74"/>
      <c r="C48" s="56" t="str">
        <f>IF($B48="","",IFERROR(MATCH($B48,Quincenas!$E$7:$E$30,1),""))</f>
        <v/>
      </c>
      <c r="D48" s="56" t="str">
        <f t="shared" si="0"/>
        <v/>
      </c>
      <c r="E48" s="68"/>
      <c r="F48" s="68"/>
      <c r="G48" s="68"/>
      <c r="H48" s="51"/>
      <c r="I48" s="68"/>
      <c r="J48" s="70"/>
      <c r="K48" s="71"/>
      <c r="L48" s="76" t="str">
        <f t="shared" si="1"/>
        <v/>
      </c>
    </row>
    <row r="49" spans="1:12" x14ac:dyDescent="0.25">
      <c r="A49" s="67" t="str">
        <f>IF($B49="","",COUNT($B$7:$B49))</f>
        <v/>
      </c>
      <c r="B49" s="74"/>
      <c r="C49" s="50" t="str">
        <f>IF($B49="","",IFERROR(MATCH($B49,Quincenas!$E$7:$E$30,1),""))</f>
        <v/>
      </c>
      <c r="D49" s="50" t="str">
        <f t="shared" si="0"/>
        <v/>
      </c>
      <c r="E49" s="68"/>
      <c r="F49" s="68"/>
      <c r="G49" s="68"/>
      <c r="H49" s="51"/>
      <c r="I49" s="68"/>
      <c r="J49" s="70"/>
      <c r="K49" s="71"/>
      <c r="L49" s="75" t="str">
        <f t="shared" si="1"/>
        <v/>
      </c>
    </row>
    <row r="50" spans="1:12" x14ac:dyDescent="0.25">
      <c r="A50" s="72" t="str">
        <f>IF($B50="","",COUNT($B$7:$B50))</f>
        <v/>
      </c>
      <c r="B50" s="74"/>
      <c r="C50" s="56" t="str">
        <f>IF($B50="","",IFERROR(MATCH($B50,Quincenas!$E$7:$E$30,1),""))</f>
        <v/>
      </c>
      <c r="D50" s="56" t="str">
        <f t="shared" si="0"/>
        <v/>
      </c>
      <c r="E50" s="68"/>
      <c r="F50" s="68"/>
      <c r="G50" s="68"/>
      <c r="H50" s="51"/>
      <c r="I50" s="68"/>
      <c r="J50" s="70"/>
      <c r="K50" s="71"/>
      <c r="L50" s="76" t="str">
        <f t="shared" si="1"/>
        <v/>
      </c>
    </row>
    <row r="51" spans="1:12" x14ac:dyDescent="0.25">
      <c r="A51" s="67" t="str">
        <f>IF($B51="","",COUNT($B$7:$B51))</f>
        <v/>
      </c>
      <c r="B51" s="74"/>
      <c r="C51" s="50" t="str">
        <f>IF($B51="","",IFERROR(MATCH($B51,Quincenas!$E$7:$E$30,1),""))</f>
        <v/>
      </c>
      <c r="D51" s="50" t="str">
        <f t="shared" si="0"/>
        <v/>
      </c>
      <c r="E51" s="68"/>
      <c r="F51" s="68"/>
      <c r="G51" s="68"/>
      <c r="H51" s="51"/>
      <c r="I51" s="68"/>
      <c r="J51" s="70"/>
      <c r="K51" s="71"/>
      <c r="L51" s="75" t="str">
        <f t="shared" si="1"/>
        <v/>
      </c>
    </row>
    <row r="52" spans="1:12" x14ac:dyDescent="0.25">
      <c r="A52" s="72" t="str">
        <f>IF($B52="","",COUNT($B$7:$B52))</f>
        <v/>
      </c>
      <c r="B52" s="74"/>
      <c r="C52" s="56" t="str">
        <f>IF($B52="","",IFERROR(MATCH($B52,Quincenas!$E$7:$E$30,1),""))</f>
        <v/>
      </c>
      <c r="D52" s="56" t="str">
        <f t="shared" si="0"/>
        <v/>
      </c>
      <c r="E52" s="68"/>
      <c r="F52" s="68"/>
      <c r="G52" s="68"/>
      <c r="H52" s="51"/>
      <c r="I52" s="68"/>
      <c r="J52" s="70"/>
      <c r="K52" s="71"/>
      <c r="L52" s="76" t="str">
        <f t="shared" si="1"/>
        <v/>
      </c>
    </row>
    <row r="53" spans="1:12" x14ac:dyDescent="0.25">
      <c r="A53" s="67" t="str">
        <f>IF($B53="","",COUNT($B$7:$B53))</f>
        <v/>
      </c>
      <c r="B53" s="74"/>
      <c r="C53" s="50" t="str">
        <f>IF($B53="","",IFERROR(MATCH($B53,Quincenas!$E$7:$E$30,1),""))</f>
        <v/>
      </c>
      <c r="D53" s="50" t="str">
        <f t="shared" si="0"/>
        <v/>
      </c>
      <c r="E53" s="68"/>
      <c r="F53" s="68"/>
      <c r="G53" s="68"/>
      <c r="H53" s="51"/>
      <c r="I53" s="68"/>
      <c r="J53" s="70"/>
      <c r="K53" s="71"/>
      <c r="L53" s="75" t="str">
        <f t="shared" si="1"/>
        <v/>
      </c>
    </row>
    <row r="54" spans="1:12" x14ac:dyDescent="0.25">
      <c r="A54" s="72" t="str">
        <f>IF($B54="","",COUNT($B$7:$B54))</f>
        <v/>
      </c>
      <c r="B54" s="74"/>
      <c r="C54" s="56" t="str">
        <f>IF($B54="","",IFERROR(MATCH($B54,Quincenas!$E$7:$E$30,1),""))</f>
        <v/>
      </c>
      <c r="D54" s="56" t="str">
        <f t="shared" si="0"/>
        <v/>
      </c>
      <c r="E54" s="68"/>
      <c r="F54" s="68"/>
      <c r="G54" s="68"/>
      <c r="H54" s="51"/>
      <c r="I54" s="68"/>
      <c r="J54" s="70"/>
      <c r="K54" s="71"/>
      <c r="L54" s="76" t="str">
        <f t="shared" si="1"/>
        <v/>
      </c>
    </row>
    <row r="55" spans="1:12" x14ac:dyDescent="0.25">
      <c r="A55" s="67" t="str">
        <f>IF($B55="","",COUNT($B$7:$B55))</f>
        <v/>
      </c>
      <c r="B55" s="74"/>
      <c r="C55" s="50" t="str">
        <f>IF($B55="","",IFERROR(MATCH($B55,Quincenas!$E$7:$E$30,1),""))</f>
        <v/>
      </c>
      <c r="D55" s="50" t="str">
        <f t="shared" si="0"/>
        <v/>
      </c>
      <c r="E55" s="68"/>
      <c r="F55" s="68"/>
      <c r="G55" s="68"/>
      <c r="H55" s="51"/>
      <c r="I55" s="68"/>
      <c r="J55" s="70"/>
      <c r="K55" s="71"/>
      <c r="L55" s="75" t="str">
        <f t="shared" si="1"/>
        <v/>
      </c>
    </row>
    <row r="56" spans="1:12" x14ac:dyDescent="0.25">
      <c r="A56" s="72" t="str">
        <f>IF($B56="","",COUNT($B$7:$B56))</f>
        <v/>
      </c>
      <c r="B56" s="74"/>
      <c r="C56" s="56" t="str">
        <f>IF($B56="","",IFERROR(MATCH($B56,Quincenas!$E$7:$E$30,1),""))</f>
        <v/>
      </c>
      <c r="D56" s="56" t="str">
        <f t="shared" si="0"/>
        <v/>
      </c>
      <c r="E56" s="68"/>
      <c r="F56" s="68"/>
      <c r="G56" s="68"/>
      <c r="H56" s="51"/>
      <c r="I56" s="68"/>
      <c r="J56" s="70"/>
      <c r="K56" s="71"/>
      <c r="L56" s="76" t="str">
        <f t="shared" si="1"/>
        <v/>
      </c>
    </row>
    <row r="57" spans="1:12" x14ac:dyDescent="0.25">
      <c r="A57" s="67" t="str">
        <f>IF($B57="","",COUNT($B$7:$B57))</f>
        <v/>
      </c>
      <c r="B57" s="74"/>
      <c r="C57" s="50" t="str">
        <f>IF($B57="","",IFERROR(MATCH($B57,Quincenas!$E$7:$E$30,1),""))</f>
        <v/>
      </c>
      <c r="D57" s="50" t="str">
        <f t="shared" si="0"/>
        <v/>
      </c>
      <c r="E57" s="68"/>
      <c r="F57" s="68"/>
      <c r="G57" s="68"/>
      <c r="H57" s="51"/>
      <c r="I57" s="68"/>
      <c r="J57" s="70"/>
      <c r="K57" s="71"/>
      <c r="L57" s="75" t="str">
        <f t="shared" si="1"/>
        <v/>
      </c>
    </row>
    <row r="58" spans="1:12" x14ac:dyDescent="0.25">
      <c r="A58" s="72" t="str">
        <f>IF($B58="","",COUNT($B$7:$B58))</f>
        <v/>
      </c>
      <c r="B58" s="74"/>
      <c r="C58" s="56" t="str">
        <f>IF($B58="","",IFERROR(MATCH($B58,Quincenas!$E$7:$E$30,1),""))</f>
        <v/>
      </c>
      <c r="D58" s="56" t="str">
        <f t="shared" si="0"/>
        <v/>
      </c>
      <c r="E58" s="68"/>
      <c r="F58" s="68"/>
      <c r="G58" s="68"/>
      <c r="H58" s="51"/>
      <c r="I58" s="68"/>
      <c r="J58" s="70"/>
      <c r="K58" s="71"/>
      <c r="L58" s="76" t="str">
        <f t="shared" si="1"/>
        <v/>
      </c>
    </row>
    <row r="59" spans="1:12" x14ac:dyDescent="0.25">
      <c r="A59" s="67" t="str">
        <f>IF($B59="","",COUNT($B$7:$B59))</f>
        <v/>
      </c>
      <c r="B59" s="74"/>
      <c r="C59" s="50" t="str">
        <f>IF($B59="","",IFERROR(MATCH($B59,Quincenas!$E$7:$E$30,1),""))</f>
        <v/>
      </c>
      <c r="D59" s="50" t="str">
        <f t="shared" si="0"/>
        <v/>
      </c>
      <c r="E59" s="68"/>
      <c r="F59" s="68"/>
      <c r="G59" s="68"/>
      <c r="H59" s="51"/>
      <c r="I59" s="68"/>
      <c r="J59" s="70"/>
      <c r="K59" s="71"/>
      <c r="L59" s="75" t="str">
        <f t="shared" si="1"/>
        <v/>
      </c>
    </row>
    <row r="60" spans="1:12" x14ac:dyDescent="0.25">
      <c r="A60" s="72" t="str">
        <f>IF($B60="","",COUNT($B$7:$B60))</f>
        <v/>
      </c>
      <c r="B60" s="74"/>
      <c r="C60" s="56" t="str">
        <f>IF($B60="","",IFERROR(MATCH($B60,Quincenas!$E$7:$E$30,1),""))</f>
        <v/>
      </c>
      <c r="D60" s="56" t="str">
        <f t="shared" si="0"/>
        <v/>
      </c>
      <c r="E60" s="68"/>
      <c r="F60" s="68"/>
      <c r="G60" s="68"/>
      <c r="H60" s="51"/>
      <c r="I60" s="68"/>
      <c r="J60" s="70"/>
      <c r="K60" s="71"/>
      <c r="L60" s="76" t="str">
        <f t="shared" si="1"/>
        <v/>
      </c>
    </row>
    <row r="61" spans="1:12" x14ac:dyDescent="0.25">
      <c r="A61" s="67" t="str">
        <f>IF($B61="","",COUNT($B$7:$B61))</f>
        <v/>
      </c>
      <c r="B61" s="74"/>
      <c r="C61" s="50" t="str">
        <f>IF($B61="","",IFERROR(MATCH($B61,Quincenas!$E$7:$E$30,1),""))</f>
        <v/>
      </c>
      <c r="D61" s="50" t="str">
        <f t="shared" si="0"/>
        <v/>
      </c>
      <c r="E61" s="68"/>
      <c r="F61" s="68"/>
      <c r="G61" s="68"/>
      <c r="H61" s="51"/>
      <c r="I61" s="68"/>
      <c r="J61" s="70"/>
      <c r="K61" s="71"/>
      <c r="L61" s="75" t="str">
        <f t="shared" si="1"/>
        <v/>
      </c>
    </row>
    <row r="62" spans="1:12" x14ac:dyDescent="0.25">
      <c r="A62" s="72" t="str">
        <f>IF($B62="","",COUNT($B$7:$B62))</f>
        <v/>
      </c>
      <c r="B62" s="74"/>
      <c r="C62" s="56" t="str">
        <f>IF($B62="","",IFERROR(MATCH($B62,Quincenas!$E$7:$E$30,1),""))</f>
        <v/>
      </c>
      <c r="D62" s="56" t="str">
        <f t="shared" si="0"/>
        <v/>
      </c>
      <c r="E62" s="68"/>
      <c r="F62" s="68"/>
      <c r="G62" s="68"/>
      <c r="H62" s="51"/>
      <c r="I62" s="68"/>
      <c r="J62" s="70"/>
      <c r="K62" s="71"/>
      <c r="L62" s="76" t="str">
        <f t="shared" si="1"/>
        <v/>
      </c>
    </row>
    <row r="63" spans="1:12" x14ac:dyDescent="0.25">
      <c r="A63" s="67" t="str">
        <f>IF($B63="","",COUNT($B$7:$B63))</f>
        <v/>
      </c>
      <c r="B63" s="74"/>
      <c r="C63" s="50" t="str">
        <f>IF($B63="","",IFERROR(MATCH($B63,Quincenas!$E$7:$E$30,1),""))</f>
        <v/>
      </c>
      <c r="D63" s="50" t="str">
        <f t="shared" si="0"/>
        <v/>
      </c>
      <c r="E63" s="68"/>
      <c r="F63" s="68"/>
      <c r="G63" s="68"/>
      <c r="H63" s="51"/>
      <c r="I63" s="68"/>
      <c r="J63" s="70"/>
      <c r="K63" s="71"/>
      <c r="L63" s="75" t="str">
        <f t="shared" si="1"/>
        <v/>
      </c>
    </row>
    <row r="64" spans="1:12" x14ac:dyDescent="0.25">
      <c r="A64" s="72" t="str">
        <f>IF($B64="","",COUNT($B$7:$B64))</f>
        <v/>
      </c>
      <c r="B64" s="74"/>
      <c r="C64" s="56" t="str">
        <f>IF($B64="","",IFERROR(MATCH($B64,Quincenas!$E$7:$E$30,1),""))</f>
        <v/>
      </c>
      <c r="D64" s="56" t="str">
        <f t="shared" si="0"/>
        <v/>
      </c>
      <c r="E64" s="68"/>
      <c r="F64" s="68"/>
      <c r="G64" s="68"/>
      <c r="H64" s="51"/>
      <c r="I64" s="68"/>
      <c r="J64" s="70"/>
      <c r="K64" s="71"/>
      <c r="L64" s="76" t="str">
        <f t="shared" si="1"/>
        <v/>
      </c>
    </row>
    <row r="65" spans="1:12" x14ac:dyDescent="0.25">
      <c r="A65" s="67" t="str">
        <f>IF($B65="","",COUNT($B$7:$B65))</f>
        <v/>
      </c>
      <c r="B65" s="74"/>
      <c r="C65" s="50" t="str">
        <f>IF($B65="","",IFERROR(MATCH($B65,Quincenas!$E$7:$E$30,1),""))</f>
        <v/>
      </c>
      <c r="D65" s="50" t="str">
        <f t="shared" si="0"/>
        <v/>
      </c>
      <c r="E65" s="68"/>
      <c r="F65" s="68"/>
      <c r="G65" s="68"/>
      <c r="H65" s="51"/>
      <c r="I65" s="68"/>
      <c r="J65" s="70"/>
      <c r="K65" s="71"/>
      <c r="L65" s="75" t="str">
        <f t="shared" si="1"/>
        <v/>
      </c>
    </row>
    <row r="66" spans="1:12" x14ac:dyDescent="0.25">
      <c r="A66" s="72" t="str">
        <f>IF($B66="","",COUNT($B$7:$B66))</f>
        <v/>
      </c>
      <c r="B66" s="74"/>
      <c r="C66" s="56" t="str">
        <f>IF($B66="","",IFERROR(MATCH($B66,Quincenas!$E$7:$E$30,1),""))</f>
        <v/>
      </c>
      <c r="D66" s="56" t="str">
        <f t="shared" si="0"/>
        <v/>
      </c>
      <c r="E66" s="68"/>
      <c r="F66" s="68"/>
      <c r="G66" s="68"/>
      <c r="H66" s="51"/>
      <c r="I66" s="68"/>
      <c r="J66" s="70"/>
      <c r="K66" s="71"/>
      <c r="L66" s="76" t="str">
        <f t="shared" si="1"/>
        <v/>
      </c>
    </row>
    <row r="67" spans="1:12" x14ac:dyDescent="0.25">
      <c r="A67" s="67" t="str">
        <f>IF($B67="","",COUNT($B$7:$B67))</f>
        <v/>
      </c>
      <c r="B67" s="74"/>
      <c r="C67" s="50" t="str">
        <f>IF($B67="","",IFERROR(MATCH($B67,Quincenas!$E$7:$E$30,1),""))</f>
        <v/>
      </c>
      <c r="D67" s="50" t="str">
        <f t="shared" ref="D67:D130" si="2">IF($B67="","",MONTH($B67))</f>
        <v/>
      </c>
      <c r="E67" s="68"/>
      <c r="F67" s="68"/>
      <c r="G67" s="68"/>
      <c r="H67" s="51"/>
      <c r="I67" s="68"/>
      <c r="J67" s="70"/>
      <c r="K67" s="71"/>
      <c r="L67" s="75" t="str">
        <f t="shared" ref="L67:L130" si="3">IF($B67="","",IF($C67="","La fecha está fuera del año configurado",IF($E67="","Falta indicar el tipo",IF($H67="","Falta el monto",IF($F67="","Falta la categoría",IF(AND($E67="Fijo",COUNTIF(Fijos_Concepto,$G67)=0),"El concepto no existe en la hoja Fijos",IF($J67="Pendiente","Movimiento pendiente de pago","OK")))))))</f>
        <v/>
      </c>
    </row>
    <row r="68" spans="1:12" x14ac:dyDescent="0.25">
      <c r="A68" s="72" t="str">
        <f>IF($B68="","",COUNT($B$7:$B68))</f>
        <v/>
      </c>
      <c r="B68" s="74"/>
      <c r="C68" s="56" t="str">
        <f>IF($B68="","",IFERROR(MATCH($B68,Quincenas!$E$7:$E$30,1),""))</f>
        <v/>
      </c>
      <c r="D68" s="56" t="str">
        <f t="shared" si="2"/>
        <v/>
      </c>
      <c r="E68" s="68"/>
      <c r="F68" s="68"/>
      <c r="G68" s="68"/>
      <c r="H68" s="51"/>
      <c r="I68" s="68"/>
      <c r="J68" s="70"/>
      <c r="K68" s="71"/>
      <c r="L68" s="76" t="str">
        <f t="shared" si="3"/>
        <v/>
      </c>
    </row>
    <row r="69" spans="1:12" x14ac:dyDescent="0.25">
      <c r="A69" s="67" t="str">
        <f>IF($B69="","",COUNT($B$7:$B69))</f>
        <v/>
      </c>
      <c r="B69" s="74"/>
      <c r="C69" s="50" t="str">
        <f>IF($B69="","",IFERROR(MATCH($B69,Quincenas!$E$7:$E$30,1),""))</f>
        <v/>
      </c>
      <c r="D69" s="50" t="str">
        <f t="shared" si="2"/>
        <v/>
      </c>
      <c r="E69" s="68"/>
      <c r="F69" s="68"/>
      <c r="G69" s="68"/>
      <c r="H69" s="51"/>
      <c r="I69" s="68"/>
      <c r="J69" s="70"/>
      <c r="K69" s="71"/>
      <c r="L69" s="75" t="str">
        <f t="shared" si="3"/>
        <v/>
      </c>
    </row>
    <row r="70" spans="1:12" x14ac:dyDescent="0.25">
      <c r="A70" s="72" t="str">
        <f>IF($B70="","",COUNT($B$7:$B70))</f>
        <v/>
      </c>
      <c r="B70" s="74"/>
      <c r="C70" s="56" t="str">
        <f>IF($B70="","",IFERROR(MATCH($B70,Quincenas!$E$7:$E$30,1),""))</f>
        <v/>
      </c>
      <c r="D70" s="56" t="str">
        <f t="shared" si="2"/>
        <v/>
      </c>
      <c r="E70" s="68"/>
      <c r="F70" s="68"/>
      <c r="G70" s="68"/>
      <c r="H70" s="51"/>
      <c r="I70" s="68"/>
      <c r="J70" s="70"/>
      <c r="K70" s="71"/>
      <c r="L70" s="76" t="str">
        <f t="shared" si="3"/>
        <v/>
      </c>
    </row>
    <row r="71" spans="1:12" x14ac:dyDescent="0.25">
      <c r="A71" s="67" t="str">
        <f>IF($B71="","",COUNT($B$7:$B71))</f>
        <v/>
      </c>
      <c r="B71" s="74"/>
      <c r="C71" s="50" t="str">
        <f>IF($B71="","",IFERROR(MATCH($B71,Quincenas!$E$7:$E$30,1),""))</f>
        <v/>
      </c>
      <c r="D71" s="50" t="str">
        <f t="shared" si="2"/>
        <v/>
      </c>
      <c r="E71" s="68"/>
      <c r="F71" s="68"/>
      <c r="G71" s="68"/>
      <c r="H71" s="51"/>
      <c r="I71" s="68"/>
      <c r="J71" s="70"/>
      <c r="K71" s="71"/>
      <c r="L71" s="75" t="str">
        <f t="shared" si="3"/>
        <v/>
      </c>
    </row>
    <row r="72" spans="1:12" x14ac:dyDescent="0.25">
      <c r="A72" s="72" t="str">
        <f>IF($B72="","",COUNT($B$7:$B72))</f>
        <v/>
      </c>
      <c r="B72" s="74"/>
      <c r="C72" s="56" t="str">
        <f>IF($B72="","",IFERROR(MATCH($B72,Quincenas!$E$7:$E$30,1),""))</f>
        <v/>
      </c>
      <c r="D72" s="56" t="str">
        <f t="shared" si="2"/>
        <v/>
      </c>
      <c r="E72" s="68"/>
      <c r="F72" s="68"/>
      <c r="G72" s="68"/>
      <c r="H72" s="51"/>
      <c r="I72" s="68"/>
      <c r="J72" s="70"/>
      <c r="K72" s="71"/>
      <c r="L72" s="76" t="str">
        <f t="shared" si="3"/>
        <v/>
      </c>
    </row>
    <row r="73" spans="1:12" x14ac:dyDescent="0.25">
      <c r="A73" s="67" t="str">
        <f>IF($B73="","",COUNT($B$7:$B73))</f>
        <v/>
      </c>
      <c r="B73" s="74"/>
      <c r="C73" s="50" t="str">
        <f>IF($B73="","",IFERROR(MATCH($B73,Quincenas!$E$7:$E$30,1),""))</f>
        <v/>
      </c>
      <c r="D73" s="50" t="str">
        <f t="shared" si="2"/>
        <v/>
      </c>
      <c r="E73" s="68"/>
      <c r="F73" s="68"/>
      <c r="G73" s="68"/>
      <c r="H73" s="51"/>
      <c r="I73" s="68"/>
      <c r="J73" s="70"/>
      <c r="K73" s="71"/>
      <c r="L73" s="75" t="str">
        <f t="shared" si="3"/>
        <v/>
      </c>
    </row>
    <row r="74" spans="1:12" x14ac:dyDescent="0.25">
      <c r="A74" s="72" t="str">
        <f>IF($B74="","",COUNT($B$7:$B74))</f>
        <v/>
      </c>
      <c r="B74" s="74"/>
      <c r="C74" s="56" t="str">
        <f>IF($B74="","",IFERROR(MATCH($B74,Quincenas!$E$7:$E$30,1),""))</f>
        <v/>
      </c>
      <c r="D74" s="56" t="str">
        <f t="shared" si="2"/>
        <v/>
      </c>
      <c r="E74" s="68"/>
      <c r="F74" s="68"/>
      <c r="G74" s="68"/>
      <c r="H74" s="51"/>
      <c r="I74" s="68"/>
      <c r="J74" s="70"/>
      <c r="K74" s="71"/>
      <c r="L74" s="76" t="str">
        <f t="shared" si="3"/>
        <v/>
      </c>
    </row>
    <row r="75" spans="1:12" x14ac:dyDescent="0.25">
      <c r="A75" s="67" t="str">
        <f>IF($B75="","",COUNT($B$7:$B75))</f>
        <v/>
      </c>
      <c r="B75" s="74"/>
      <c r="C75" s="50" t="str">
        <f>IF($B75="","",IFERROR(MATCH($B75,Quincenas!$E$7:$E$30,1),""))</f>
        <v/>
      </c>
      <c r="D75" s="50" t="str">
        <f t="shared" si="2"/>
        <v/>
      </c>
      <c r="E75" s="68"/>
      <c r="F75" s="68"/>
      <c r="G75" s="68"/>
      <c r="H75" s="51"/>
      <c r="I75" s="68"/>
      <c r="J75" s="70"/>
      <c r="K75" s="71"/>
      <c r="L75" s="75" t="str">
        <f t="shared" si="3"/>
        <v/>
      </c>
    </row>
    <row r="76" spans="1:12" x14ac:dyDescent="0.25">
      <c r="A76" s="72" t="str">
        <f>IF($B76="","",COUNT($B$7:$B76))</f>
        <v/>
      </c>
      <c r="B76" s="74"/>
      <c r="C76" s="56" t="str">
        <f>IF($B76="","",IFERROR(MATCH($B76,Quincenas!$E$7:$E$30,1),""))</f>
        <v/>
      </c>
      <c r="D76" s="56" t="str">
        <f t="shared" si="2"/>
        <v/>
      </c>
      <c r="E76" s="68"/>
      <c r="F76" s="68"/>
      <c r="G76" s="68"/>
      <c r="H76" s="51"/>
      <c r="I76" s="68"/>
      <c r="J76" s="70"/>
      <c r="K76" s="71"/>
      <c r="L76" s="76" t="str">
        <f t="shared" si="3"/>
        <v/>
      </c>
    </row>
    <row r="77" spans="1:12" x14ac:dyDescent="0.25">
      <c r="A77" s="67" t="str">
        <f>IF($B77="","",COUNT($B$7:$B77))</f>
        <v/>
      </c>
      <c r="B77" s="74"/>
      <c r="C77" s="50" t="str">
        <f>IF($B77="","",IFERROR(MATCH($B77,Quincenas!$E$7:$E$30,1),""))</f>
        <v/>
      </c>
      <c r="D77" s="50" t="str">
        <f t="shared" si="2"/>
        <v/>
      </c>
      <c r="E77" s="68"/>
      <c r="F77" s="68"/>
      <c r="G77" s="68"/>
      <c r="H77" s="51"/>
      <c r="I77" s="68"/>
      <c r="J77" s="70"/>
      <c r="K77" s="71"/>
      <c r="L77" s="75" t="str">
        <f t="shared" si="3"/>
        <v/>
      </c>
    </row>
    <row r="78" spans="1:12" x14ac:dyDescent="0.25">
      <c r="A78" s="72" t="str">
        <f>IF($B78="","",COUNT($B$7:$B78))</f>
        <v/>
      </c>
      <c r="B78" s="74"/>
      <c r="C78" s="56" t="str">
        <f>IF($B78="","",IFERROR(MATCH($B78,Quincenas!$E$7:$E$30,1),""))</f>
        <v/>
      </c>
      <c r="D78" s="56" t="str">
        <f t="shared" si="2"/>
        <v/>
      </c>
      <c r="E78" s="68"/>
      <c r="F78" s="68"/>
      <c r="G78" s="68"/>
      <c r="H78" s="51"/>
      <c r="I78" s="68"/>
      <c r="J78" s="70"/>
      <c r="K78" s="71"/>
      <c r="L78" s="76" t="str">
        <f t="shared" si="3"/>
        <v/>
      </c>
    </row>
    <row r="79" spans="1:12" x14ac:dyDescent="0.25">
      <c r="A79" s="67" t="str">
        <f>IF($B79="","",COUNT($B$7:$B79))</f>
        <v/>
      </c>
      <c r="B79" s="74"/>
      <c r="C79" s="50" t="str">
        <f>IF($B79="","",IFERROR(MATCH($B79,Quincenas!$E$7:$E$30,1),""))</f>
        <v/>
      </c>
      <c r="D79" s="50" t="str">
        <f t="shared" si="2"/>
        <v/>
      </c>
      <c r="E79" s="68"/>
      <c r="F79" s="68"/>
      <c r="G79" s="68"/>
      <c r="H79" s="51"/>
      <c r="I79" s="68"/>
      <c r="J79" s="70"/>
      <c r="K79" s="71"/>
      <c r="L79" s="75" t="str">
        <f t="shared" si="3"/>
        <v/>
      </c>
    </row>
    <row r="80" spans="1:12" x14ac:dyDescent="0.25">
      <c r="A80" s="72" t="str">
        <f>IF($B80="","",COUNT($B$7:$B80))</f>
        <v/>
      </c>
      <c r="B80" s="74"/>
      <c r="C80" s="56" t="str">
        <f>IF($B80="","",IFERROR(MATCH($B80,Quincenas!$E$7:$E$30,1),""))</f>
        <v/>
      </c>
      <c r="D80" s="56" t="str">
        <f t="shared" si="2"/>
        <v/>
      </c>
      <c r="E80" s="68"/>
      <c r="F80" s="68"/>
      <c r="G80" s="68"/>
      <c r="H80" s="51"/>
      <c r="I80" s="68"/>
      <c r="J80" s="70"/>
      <c r="K80" s="71"/>
      <c r="L80" s="76" t="str">
        <f t="shared" si="3"/>
        <v/>
      </c>
    </row>
    <row r="81" spans="1:12" x14ac:dyDescent="0.25">
      <c r="A81" s="67" t="str">
        <f>IF($B81="","",COUNT($B$7:$B81))</f>
        <v/>
      </c>
      <c r="B81" s="74"/>
      <c r="C81" s="50" t="str">
        <f>IF($B81="","",IFERROR(MATCH($B81,Quincenas!$E$7:$E$30,1),""))</f>
        <v/>
      </c>
      <c r="D81" s="50" t="str">
        <f t="shared" si="2"/>
        <v/>
      </c>
      <c r="E81" s="68"/>
      <c r="F81" s="68"/>
      <c r="G81" s="68"/>
      <c r="H81" s="51"/>
      <c r="I81" s="68"/>
      <c r="J81" s="70"/>
      <c r="K81" s="71"/>
      <c r="L81" s="75" t="str">
        <f t="shared" si="3"/>
        <v/>
      </c>
    </row>
    <row r="82" spans="1:12" x14ac:dyDescent="0.25">
      <c r="A82" s="72" t="str">
        <f>IF($B82="","",COUNT($B$7:$B82))</f>
        <v/>
      </c>
      <c r="B82" s="74"/>
      <c r="C82" s="56" t="str">
        <f>IF($B82="","",IFERROR(MATCH($B82,Quincenas!$E$7:$E$30,1),""))</f>
        <v/>
      </c>
      <c r="D82" s="56" t="str">
        <f t="shared" si="2"/>
        <v/>
      </c>
      <c r="E82" s="68"/>
      <c r="F82" s="68"/>
      <c r="G82" s="68"/>
      <c r="H82" s="51"/>
      <c r="I82" s="68"/>
      <c r="J82" s="70"/>
      <c r="K82" s="71"/>
      <c r="L82" s="76" t="str">
        <f t="shared" si="3"/>
        <v/>
      </c>
    </row>
    <row r="83" spans="1:12" x14ac:dyDescent="0.25">
      <c r="A83" s="67" t="str">
        <f>IF($B83="","",COUNT($B$7:$B83))</f>
        <v/>
      </c>
      <c r="B83" s="74"/>
      <c r="C83" s="50" t="str">
        <f>IF($B83="","",IFERROR(MATCH($B83,Quincenas!$E$7:$E$30,1),""))</f>
        <v/>
      </c>
      <c r="D83" s="50" t="str">
        <f t="shared" si="2"/>
        <v/>
      </c>
      <c r="E83" s="68"/>
      <c r="F83" s="68"/>
      <c r="G83" s="68"/>
      <c r="H83" s="51"/>
      <c r="I83" s="68"/>
      <c r="J83" s="70"/>
      <c r="K83" s="71"/>
      <c r="L83" s="75" t="str">
        <f t="shared" si="3"/>
        <v/>
      </c>
    </row>
    <row r="84" spans="1:12" x14ac:dyDescent="0.25">
      <c r="A84" s="72" t="str">
        <f>IF($B84="","",COUNT($B$7:$B84))</f>
        <v/>
      </c>
      <c r="B84" s="74"/>
      <c r="C84" s="56" t="str">
        <f>IF($B84="","",IFERROR(MATCH($B84,Quincenas!$E$7:$E$30,1),""))</f>
        <v/>
      </c>
      <c r="D84" s="56" t="str">
        <f t="shared" si="2"/>
        <v/>
      </c>
      <c r="E84" s="68"/>
      <c r="F84" s="68"/>
      <c r="G84" s="68"/>
      <c r="H84" s="51"/>
      <c r="I84" s="68"/>
      <c r="J84" s="70"/>
      <c r="K84" s="71"/>
      <c r="L84" s="76" t="str">
        <f t="shared" si="3"/>
        <v/>
      </c>
    </row>
    <row r="85" spans="1:12" x14ac:dyDescent="0.25">
      <c r="A85" s="67" t="str">
        <f>IF($B85="","",COUNT($B$7:$B85))</f>
        <v/>
      </c>
      <c r="B85" s="74"/>
      <c r="C85" s="50" t="str">
        <f>IF($B85="","",IFERROR(MATCH($B85,Quincenas!$E$7:$E$30,1),""))</f>
        <v/>
      </c>
      <c r="D85" s="50" t="str">
        <f t="shared" si="2"/>
        <v/>
      </c>
      <c r="E85" s="68"/>
      <c r="F85" s="68"/>
      <c r="G85" s="68"/>
      <c r="H85" s="51"/>
      <c r="I85" s="68"/>
      <c r="J85" s="70"/>
      <c r="K85" s="71"/>
      <c r="L85" s="75" t="str">
        <f t="shared" si="3"/>
        <v/>
      </c>
    </row>
    <row r="86" spans="1:12" x14ac:dyDescent="0.25">
      <c r="A86" s="72" t="str">
        <f>IF($B86="","",COUNT($B$7:$B86))</f>
        <v/>
      </c>
      <c r="B86" s="74"/>
      <c r="C86" s="56" t="str">
        <f>IF($B86="","",IFERROR(MATCH($B86,Quincenas!$E$7:$E$30,1),""))</f>
        <v/>
      </c>
      <c r="D86" s="56" t="str">
        <f t="shared" si="2"/>
        <v/>
      </c>
      <c r="E86" s="68"/>
      <c r="F86" s="68"/>
      <c r="G86" s="68"/>
      <c r="H86" s="51"/>
      <c r="I86" s="68"/>
      <c r="J86" s="70"/>
      <c r="K86" s="71"/>
      <c r="L86" s="76" t="str">
        <f t="shared" si="3"/>
        <v/>
      </c>
    </row>
    <row r="87" spans="1:12" x14ac:dyDescent="0.25">
      <c r="A87" s="67" t="str">
        <f>IF($B87="","",COUNT($B$7:$B87))</f>
        <v/>
      </c>
      <c r="B87" s="74"/>
      <c r="C87" s="50" t="str">
        <f>IF($B87="","",IFERROR(MATCH($B87,Quincenas!$E$7:$E$30,1),""))</f>
        <v/>
      </c>
      <c r="D87" s="50" t="str">
        <f t="shared" si="2"/>
        <v/>
      </c>
      <c r="E87" s="68"/>
      <c r="F87" s="68"/>
      <c r="G87" s="68"/>
      <c r="H87" s="51"/>
      <c r="I87" s="68"/>
      <c r="J87" s="70"/>
      <c r="K87" s="71"/>
      <c r="L87" s="75" t="str">
        <f t="shared" si="3"/>
        <v/>
      </c>
    </row>
    <row r="88" spans="1:12" x14ac:dyDescent="0.25">
      <c r="A88" s="72" t="str">
        <f>IF($B88="","",COUNT($B$7:$B88))</f>
        <v/>
      </c>
      <c r="B88" s="74"/>
      <c r="C88" s="56" t="str">
        <f>IF($B88="","",IFERROR(MATCH($B88,Quincenas!$E$7:$E$30,1),""))</f>
        <v/>
      </c>
      <c r="D88" s="56" t="str">
        <f t="shared" si="2"/>
        <v/>
      </c>
      <c r="E88" s="68"/>
      <c r="F88" s="68"/>
      <c r="G88" s="68"/>
      <c r="H88" s="51"/>
      <c r="I88" s="68"/>
      <c r="J88" s="70"/>
      <c r="K88" s="71"/>
      <c r="L88" s="76" t="str">
        <f t="shared" si="3"/>
        <v/>
      </c>
    </row>
    <row r="89" spans="1:12" x14ac:dyDescent="0.25">
      <c r="A89" s="67" t="str">
        <f>IF($B89="","",COUNT($B$7:$B89))</f>
        <v/>
      </c>
      <c r="B89" s="74"/>
      <c r="C89" s="50" t="str">
        <f>IF($B89="","",IFERROR(MATCH($B89,Quincenas!$E$7:$E$30,1),""))</f>
        <v/>
      </c>
      <c r="D89" s="50" t="str">
        <f t="shared" si="2"/>
        <v/>
      </c>
      <c r="E89" s="68"/>
      <c r="F89" s="68"/>
      <c r="G89" s="68"/>
      <c r="H89" s="51"/>
      <c r="I89" s="68"/>
      <c r="J89" s="70"/>
      <c r="K89" s="71"/>
      <c r="L89" s="75" t="str">
        <f t="shared" si="3"/>
        <v/>
      </c>
    </row>
    <row r="90" spans="1:12" x14ac:dyDescent="0.25">
      <c r="A90" s="72" t="str">
        <f>IF($B90="","",COUNT($B$7:$B90))</f>
        <v/>
      </c>
      <c r="B90" s="74"/>
      <c r="C90" s="56" t="str">
        <f>IF($B90="","",IFERROR(MATCH($B90,Quincenas!$E$7:$E$30,1),""))</f>
        <v/>
      </c>
      <c r="D90" s="56" t="str">
        <f t="shared" si="2"/>
        <v/>
      </c>
      <c r="E90" s="68"/>
      <c r="F90" s="68"/>
      <c r="G90" s="68"/>
      <c r="H90" s="51"/>
      <c r="I90" s="68"/>
      <c r="J90" s="70"/>
      <c r="K90" s="71"/>
      <c r="L90" s="76" t="str">
        <f t="shared" si="3"/>
        <v/>
      </c>
    </row>
    <row r="91" spans="1:12" x14ac:dyDescent="0.25">
      <c r="A91" s="67" t="str">
        <f>IF($B91="","",COUNT($B$7:$B91))</f>
        <v/>
      </c>
      <c r="B91" s="74"/>
      <c r="C91" s="50" t="str">
        <f>IF($B91="","",IFERROR(MATCH($B91,Quincenas!$E$7:$E$30,1),""))</f>
        <v/>
      </c>
      <c r="D91" s="50" t="str">
        <f t="shared" si="2"/>
        <v/>
      </c>
      <c r="E91" s="68"/>
      <c r="F91" s="68"/>
      <c r="G91" s="68"/>
      <c r="H91" s="51"/>
      <c r="I91" s="68"/>
      <c r="J91" s="70"/>
      <c r="K91" s="71"/>
      <c r="L91" s="75" t="str">
        <f t="shared" si="3"/>
        <v/>
      </c>
    </row>
    <row r="92" spans="1:12" x14ac:dyDescent="0.25">
      <c r="A92" s="72" t="str">
        <f>IF($B92="","",COUNT($B$7:$B92))</f>
        <v/>
      </c>
      <c r="B92" s="74"/>
      <c r="C92" s="56" t="str">
        <f>IF($B92="","",IFERROR(MATCH($B92,Quincenas!$E$7:$E$30,1),""))</f>
        <v/>
      </c>
      <c r="D92" s="56" t="str">
        <f t="shared" si="2"/>
        <v/>
      </c>
      <c r="E92" s="68"/>
      <c r="F92" s="68"/>
      <c r="G92" s="68"/>
      <c r="H92" s="51"/>
      <c r="I92" s="68"/>
      <c r="J92" s="70"/>
      <c r="K92" s="71"/>
      <c r="L92" s="76" t="str">
        <f t="shared" si="3"/>
        <v/>
      </c>
    </row>
    <row r="93" spans="1:12" x14ac:dyDescent="0.25">
      <c r="A93" s="67" t="str">
        <f>IF($B93="","",COUNT($B$7:$B93))</f>
        <v/>
      </c>
      <c r="B93" s="74"/>
      <c r="C93" s="50" t="str">
        <f>IF($B93="","",IFERROR(MATCH($B93,Quincenas!$E$7:$E$30,1),""))</f>
        <v/>
      </c>
      <c r="D93" s="50" t="str">
        <f t="shared" si="2"/>
        <v/>
      </c>
      <c r="E93" s="68"/>
      <c r="F93" s="68"/>
      <c r="G93" s="68"/>
      <c r="H93" s="51"/>
      <c r="I93" s="68"/>
      <c r="J93" s="70"/>
      <c r="K93" s="71"/>
      <c r="L93" s="75" t="str">
        <f t="shared" si="3"/>
        <v/>
      </c>
    </row>
    <row r="94" spans="1:12" x14ac:dyDescent="0.25">
      <c r="A94" s="72" t="str">
        <f>IF($B94="","",COUNT($B$7:$B94))</f>
        <v/>
      </c>
      <c r="B94" s="74"/>
      <c r="C94" s="56" t="str">
        <f>IF($B94="","",IFERROR(MATCH($B94,Quincenas!$E$7:$E$30,1),""))</f>
        <v/>
      </c>
      <c r="D94" s="56" t="str">
        <f t="shared" si="2"/>
        <v/>
      </c>
      <c r="E94" s="68"/>
      <c r="F94" s="68"/>
      <c r="G94" s="68"/>
      <c r="H94" s="51"/>
      <c r="I94" s="68"/>
      <c r="J94" s="70"/>
      <c r="K94" s="71"/>
      <c r="L94" s="76" t="str">
        <f t="shared" si="3"/>
        <v/>
      </c>
    </row>
    <row r="95" spans="1:12" x14ac:dyDescent="0.25">
      <c r="A95" s="67" t="str">
        <f>IF($B95="","",COUNT($B$7:$B95))</f>
        <v/>
      </c>
      <c r="B95" s="74"/>
      <c r="C95" s="50" t="str">
        <f>IF($B95="","",IFERROR(MATCH($B95,Quincenas!$E$7:$E$30,1),""))</f>
        <v/>
      </c>
      <c r="D95" s="50" t="str">
        <f t="shared" si="2"/>
        <v/>
      </c>
      <c r="E95" s="68"/>
      <c r="F95" s="68"/>
      <c r="G95" s="68"/>
      <c r="H95" s="51"/>
      <c r="I95" s="68"/>
      <c r="J95" s="70"/>
      <c r="K95" s="71"/>
      <c r="L95" s="75" t="str">
        <f t="shared" si="3"/>
        <v/>
      </c>
    </row>
    <row r="96" spans="1:12" x14ac:dyDescent="0.25">
      <c r="A96" s="72" t="str">
        <f>IF($B96="","",COUNT($B$7:$B96))</f>
        <v/>
      </c>
      <c r="B96" s="74"/>
      <c r="C96" s="56" t="str">
        <f>IF($B96="","",IFERROR(MATCH($B96,Quincenas!$E$7:$E$30,1),""))</f>
        <v/>
      </c>
      <c r="D96" s="56" t="str">
        <f t="shared" si="2"/>
        <v/>
      </c>
      <c r="E96" s="68"/>
      <c r="F96" s="68"/>
      <c r="G96" s="68"/>
      <c r="H96" s="51"/>
      <c r="I96" s="68"/>
      <c r="J96" s="70"/>
      <c r="K96" s="71"/>
      <c r="L96" s="76" t="str">
        <f t="shared" si="3"/>
        <v/>
      </c>
    </row>
    <row r="97" spans="1:12" x14ac:dyDescent="0.25">
      <c r="A97" s="67" t="str">
        <f>IF($B97="","",COUNT($B$7:$B97))</f>
        <v/>
      </c>
      <c r="B97" s="74"/>
      <c r="C97" s="50" t="str">
        <f>IF($B97="","",IFERROR(MATCH($B97,Quincenas!$E$7:$E$30,1),""))</f>
        <v/>
      </c>
      <c r="D97" s="50" t="str">
        <f t="shared" si="2"/>
        <v/>
      </c>
      <c r="E97" s="68"/>
      <c r="F97" s="68"/>
      <c r="G97" s="68"/>
      <c r="H97" s="51"/>
      <c r="I97" s="68"/>
      <c r="J97" s="70"/>
      <c r="K97" s="71"/>
      <c r="L97" s="75" t="str">
        <f t="shared" si="3"/>
        <v/>
      </c>
    </row>
    <row r="98" spans="1:12" x14ac:dyDescent="0.25">
      <c r="A98" s="72" t="str">
        <f>IF($B98="","",COUNT($B$7:$B98))</f>
        <v/>
      </c>
      <c r="B98" s="74"/>
      <c r="C98" s="56" t="str">
        <f>IF($B98="","",IFERROR(MATCH($B98,Quincenas!$E$7:$E$30,1),""))</f>
        <v/>
      </c>
      <c r="D98" s="56" t="str">
        <f t="shared" si="2"/>
        <v/>
      </c>
      <c r="E98" s="68"/>
      <c r="F98" s="68"/>
      <c r="G98" s="68"/>
      <c r="H98" s="51"/>
      <c r="I98" s="68"/>
      <c r="J98" s="70"/>
      <c r="K98" s="71"/>
      <c r="L98" s="76" t="str">
        <f t="shared" si="3"/>
        <v/>
      </c>
    </row>
    <row r="99" spans="1:12" x14ac:dyDescent="0.25">
      <c r="A99" s="67" t="str">
        <f>IF($B99="","",COUNT($B$7:$B99))</f>
        <v/>
      </c>
      <c r="B99" s="74"/>
      <c r="C99" s="50" t="str">
        <f>IF($B99="","",IFERROR(MATCH($B99,Quincenas!$E$7:$E$30,1),""))</f>
        <v/>
      </c>
      <c r="D99" s="50" t="str">
        <f t="shared" si="2"/>
        <v/>
      </c>
      <c r="E99" s="68"/>
      <c r="F99" s="68"/>
      <c r="G99" s="68"/>
      <c r="H99" s="51"/>
      <c r="I99" s="68"/>
      <c r="J99" s="70"/>
      <c r="K99" s="71"/>
      <c r="L99" s="75" t="str">
        <f t="shared" si="3"/>
        <v/>
      </c>
    </row>
    <row r="100" spans="1:12" x14ac:dyDescent="0.25">
      <c r="A100" s="72" t="str">
        <f>IF($B100="","",COUNT($B$7:$B100))</f>
        <v/>
      </c>
      <c r="B100" s="74"/>
      <c r="C100" s="56" t="str">
        <f>IF($B100="","",IFERROR(MATCH($B100,Quincenas!$E$7:$E$30,1),""))</f>
        <v/>
      </c>
      <c r="D100" s="56" t="str">
        <f t="shared" si="2"/>
        <v/>
      </c>
      <c r="E100" s="68"/>
      <c r="F100" s="68"/>
      <c r="G100" s="68"/>
      <c r="H100" s="51"/>
      <c r="I100" s="68"/>
      <c r="J100" s="70"/>
      <c r="K100" s="71"/>
      <c r="L100" s="76" t="str">
        <f t="shared" si="3"/>
        <v/>
      </c>
    </row>
    <row r="101" spans="1:12" x14ac:dyDescent="0.25">
      <c r="A101" s="67" t="str">
        <f>IF($B101="","",COUNT($B$7:$B101))</f>
        <v/>
      </c>
      <c r="B101" s="74"/>
      <c r="C101" s="50" t="str">
        <f>IF($B101="","",IFERROR(MATCH($B101,Quincenas!$E$7:$E$30,1),""))</f>
        <v/>
      </c>
      <c r="D101" s="50" t="str">
        <f t="shared" si="2"/>
        <v/>
      </c>
      <c r="E101" s="68"/>
      <c r="F101" s="68"/>
      <c r="G101" s="68"/>
      <c r="H101" s="51"/>
      <c r="I101" s="68"/>
      <c r="J101" s="70"/>
      <c r="K101" s="71"/>
      <c r="L101" s="75" t="str">
        <f t="shared" si="3"/>
        <v/>
      </c>
    </row>
    <row r="102" spans="1:12" x14ac:dyDescent="0.25">
      <c r="A102" s="72" t="str">
        <f>IF($B102="","",COUNT($B$7:$B102))</f>
        <v/>
      </c>
      <c r="B102" s="74"/>
      <c r="C102" s="56" t="str">
        <f>IF($B102="","",IFERROR(MATCH($B102,Quincenas!$E$7:$E$30,1),""))</f>
        <v/>
      </c>
      <c r="D102" s="56" t="str">
        <f t="shared" si="2"/>
        <v/>
      </c>
      <c r="E102" s="68"/>
      <c r="F102" s="68"/>
      <c r="G102" s="68"/>
      <c r="H102" s="51"/>
      <c r="I102" s="68"/>
      <c r="J102" s="70"/>
      <c r="K102" s="71"/>
      <c r="L102" s="76" t="str">
        <f t="shared" si="3"/>
        <v/>
      </c>
    </row>
    <row r="103" spans="1:12" x14ac:dyDescent="0.25">
      <c r="A103" s="67" t="str">
        <f>IF($B103="","",COUNT($B$7:$B103))</f>
        <v/>
      </c>
      <c r="B103" s="74"/>
      <c r="C103" s="50" t="str">
        <f>IF($B103="","",IFERROR(MATCH($B103,Quincenas!$E$7:$E$30,1),""))</f>
        <v/>
      </c>
      <c r="D103" s="50" t="str">
        <f t="shared" si="2"/>
        <v/>
      </c>
      <c r="E103" s="68"/>
      <c r="F103" s="68"/>
      <c r="G103" s="68"/>
      <c r="H103" s="51"/>
      <c r="I103" s="68"/>
      <c r="J103" s="70"/>
      <c r="K103" s="71"/>
      <c r="L103" s="75" t="str">
        <f t="shared" si="3"/>
        <v/>
      </c>
    </row>
    <row r="104" spans="1:12" x14ac:dyDescent="0.25">
      <c r="A104" s="72" t="str">
        <f>IF($B104="","",COUNT($B$7:$B104))</f>
        <v/>
      </c>
      <c r="B104" s="74"/>
      <c r="C104" s="56" t="str">
        <f>IF($B104="","",IFERROR(MATCH($B104,Quincenas!$E$7:$E$30,1),""))</f>
        <v/>
      </c>
      <c r="D104" s="56" t="str">
        <f t="shared" si="2"/>
        <v/>
      </c>
      <c r="E104" s="68"/>
      <c r="F104" s="68"/>
      <c r="G104" s="68"/>
      <c r="H104" s="51"/>
      <c r="I104" s="68"/>
      <c r="J104" s="70"/>
      <c r="K104" s="71"/>
      <c r="L104" s="76" t="str">
        <f t="shared" si="3"/>
        <v/>
      </c>
    </row>
    <row r="105" spans="1:12" x14ac:dyDescent="0.25">
      <c r="A105" s="67" t="str">
        <f>IF($B105="","",COUNT($B$7:$B105))</f>
        <v/>
      </c>
      <c r="B105" s="74"/>
      <c r="C105" s="50" t="str">
        <f>IF($B105="","",IFERROR(MATCH($B105,Quincenas!$E$7:$E$30,1),""))</f>
        <v/>
      </c>
      <c r="D105" s="50" t="str">
        <f t="shared" si="2"/>
        <v/>
      </c>
      <c r="E105" s="68"/>
      <c r="F105" s="68"/>
      <c r="G105" s="68"/>
      <c r="H105" s="51"/>
      <c r="I105" s="68"/>
      <c r="J105" s="70"/>
      <c r="K105" s="71"/>
      <c r="L105" s="75" t="str">
        <f t="shared" si="3"/>
        <v/>
      </c>
    </row>
    <row r="106" spans="1:12" x14ac:dyDescent="0.25">
      <c r="A106" s="72" t="str">
        <f>IF($B106="","",COUNT($B$7:$B106))</f>
        <v/>
      </c>
      <c r="B106" s="74"/>
      <c r="C106" s="56" t="str">
        <f>IF($B106="","",IFERROR(MATCH($B106,Quincenas!$E$7:$E$30,1),""))</f>
        <v/>
      </c>
      <c r="D106" s="56" t="str">
        <f t="shared" si="2"/>
        <v/>
      </c>
      <c r="E106" s="68"/>
      <c r="F106" s="68"/>
      <c r="G106" s="68"/>
      <c r="H106" s="51"/>
      <c r="I106" s="68"/>
      <c r="J106" s="70"/>
      <c r="K106" s="71"/>
      <c r="L106" s="76" t="str">
        <f t="shared" si="3"/>
        <v/>
      </c>
    </row>
    <row r="107" spans="1:12" x14ac:dyDescent="0.25">
      <c r="A107" s="67" t="str">
        <f>IF($B107="","",COUNT($B$7:$B107))</f>
        <v/>
      </c>
      <c r="B107" s="74"/>
      <c r="C107" s="50" t="str">
        <f>IF($B107="","",IFERROR(MATCH($B107,Quincenas!$E$7:$E$30,1),""))</f>
        <v/>
      </c>
      <c r="D107" s="50" t="str">
        <f t="shared" si="2"/>
        <v/>
      </c>
      <c r="E107" s="68"/>
      <c r="F107" s="68"/>
      <c r="G107" s="68"/>
      <c r="H107" s="51"/>
      <c r="I107" s="68"/>
      <c r="J107" s="70"/>
      <c r="K107" s="71"/>
      <c r="L107" s="75" t="str">
        <f t="shared" si="3"/>
        <v/>
      </c>
    </row>
    <row r="108" spans="1:12" x14ac:dyDescent="0.25">
      <c r="A108" s="72" t="str">
        <f>IF($B108="","",COUNT($B$7:$B108))</f>
        <v/>
      </c>
      <c r="B108" s="74"/>
      <c r="C108" s="56" t="str">
        <f>IF($B108="","",IFERROR(MATCH($B108,Quincenas!$E$7:$E$30,1),""))</f>
        <v/>
      </c>
      <c r="D108" s="56" t="str">
        <f t="shared" si="2"/>
        <v/>
      </c>
      <c r="E108" s="68"/>
      <c r="F108" s="68"/>
      <c r="G108" s="68"/>
      <c r="H108" s="51"/>
      <c r="I108" s="68"/>
      <c r="J108" s="70"/>
      <c r="K108" s="71"/>
      <c r="L108" s="76" t="str">
        <f t="shared" si="3"/>
        <v/>
      </c>
    </row>
    <row r="109" spans="1:12" x14ac:dyDescent="0.25">
      <c r="A109" s="67" t="str">
        <f>IF($B109="","",COUNT($B$7:$B109))</f>
        <v/>
      </c>
      <c r="B109" s="74"/>
      <c r="C109" s="50" t="str">
        <f>IF($B109="","",IFERROR(MATCH($B109,Quincenas!$E$7:$E$30,1),""))</f>
        <v/>
      </c>
      <c r="D109" s="50" t="str">
        <f t="shared" si="2"/>
        <v/>
      </c>
      <c r="E109" s="68"/>
      <c r="F109" s="68"/>
      <c r="G109" s="68"/>
      <c r="H109" s="51"/>
      <c r="I109" s="68"/>
      <c r="J109" s="70"/>
      <c r="K109" s="71"/>
      <c r="L109" s="75" t="str">
        <f t="shared" si="3"/>
        <v/>
      </c>
    </row>
    <row r="110" spans="1:12" x14ac:dyDescent="0.25">
      <c r="A110" s="72" t="str">
        <f>IF($B110="","",COUNT($B$7:$B110))</f>
        <v/>
      </c>
      <c r="B110" s="74"/>
      <c r="C110" s="56" t="str">
        <f>IF($B110="","",IFERROR(MATCH($B110,Quincenas!$E$7:$E$30,1),""))</f>
        <v/>
      </c>
      <c r="D110" s="56" t="str">
        <f t="shared" si="2"/>
        <v/>
      </c>
      <c r="E110" s="68"/>
      <c r="F110" s="68"/>
      <c r="G110" s="68"/>
      <c r="H110" s="51"/>
      <c r="I110" s="68"/>
      <c r="J110" s="70"/>
      <c r="K110" s="71"/>
      <c r="L110" s="76" t="str">
        <f t="shared" si="3"/>
        <v/>
      </c>
    </row>
    <row r="111" spans="1:12" x14ac:dyDescent="0.25">
      <c r="A111" s="67" t="str">
        <f>IF($B111="","",COUNT($B$7:$B111))</f>
        <v/>
      </c>
      <c r="B111" s="74"/>
      <c r="C111" s="50" t="str">
        <f>IF($B111="","",IFERROR(MATCH($B111,Quincenas!$E$7:$E$30,1),""))</f>
        <v/>
      </c>
      <c r="D111" s="50" t="str">
        <f t="shared" si="2"/>
        <v/>
      </c>
      <c r="E111" s="68"/>
      <c r="F111" s="68"/>
      <c r="G111" s="68"/>
      <c r="H111" s="51"/>
      <c r="I111" s="68"/>
      <c r="J111" s="70"/>
      <c r="K111" s="71"/>
      <c r="L111" s="75" t="str">
        <f t="shared" si="3"/>
        <v/>
      </c>
    </row>
    <row r="112" spans="1:12" x14ac:dyDescent="0.25">
      <c r="A112" s="72" t="str">
        <f>IF($B112="","",COUNT($B$7:$B112))</f>
        <v/>
      </c>
      <c r="B112" s="74"/>
      <c r="C112" s="56" t="str">
        <f>IF($B112="","",IFERROR(MATCH($B112,Quincenas!$E$7:$E$30,1),""))</f>
        <v/>
      </c>
      <c r="D112" s="56" t="str">
        <f t="shared" si="2"/>
        <v/>
      </c>
      <c r="E112" s="68"/>
      <c r="F112" s="68"/>
      <c r="G112" s="68"/>
      <c r="H112" s="51"/>
      <c r="I112" s="68"/>
      <c r="J112" s="70"/>
      <c r="K112" s="71"/>
      <c r="L112" s="76" t="str">
        <f t="shared" si="3"/>
        <v/>
      </c>
    </row>
    <row r="113" spans="1:12" x14ac:dyDescent="0.25">
      <c r="A113" s="67" t="str">
        <f>IF($B113="","",COUNT($B$7:$B113))</f>
        <v/>
      </c>
      <c r="B113" s="74"/>
      <c r="C113" s="50" t="str">
        <f>IF($B113="","",IFERROR(MATCH($B113,Quincenas!$E$7:$E$30,1),""))</f>
        <v/>
      </c>
      <c r="D113" s="50" t="str">
        <f t="shared" si="2"/>
        <v/>
      </c>
      <c r="E113" s="68"/>
      <c r="F113" s="68"/>
      <c r="G113" s="68"/>
      <c r="H113" s="51"/>
      <c r="I113" s="68"/>
      <c r="J113" s="70"/>
      <c r="K113" s="71"/>
      <c r="L113" s="75" t="str">
        <f t="shared" si="3"/>
        <v/>
      </c>
    </row>
    <row r="114" spans="1:12" x14ac:dyDescent="0.25">
      <c r="A114" s="72" t="str">
        <f>IF($B114="","",COUNT($B$7:$B114))</f>
        <v/>
      </c>
      <c r="B114" s="74"/>
      <c r="C114" s="56" t="str">
        <f>IF($B114="","",IFERROR(MATCH($B114,Quincenas!$E$7:$E$30,1),""))</f>
        <v/>
      </c>
      <c r="D114" s="56" t="str">
        <f t="shared" si="2"/>
        <v/>
      </c>
      <c r="E114" s="68"/>
      <c r="F114" s="68"/>
      <c r="G114" s="68"/>
      <c r="H114" s="51"/>
      <c r="I114" s="68"/>
      <c r="J114" s="70"/>
      <c r="K114" s="71"/>
      <c r="L114" s="76" t="str">
        <f t="shared" si="3"/>
        <v/>
      </c>
    </row>
    <row r="115" spans="1:12" x14ac:dyDescent="0.25">
      <c r="A115" s="67" t="str">
        <f>IF($B115="","",COUNT($B$7:$B115))</f>
        <v/>
      </c>
      <c r="B115" s="74"/>
      <c r="C115" s="50" t="str">
        <f>IF($B115="","",IFERROR(MATCH($B115,Quincenas!$E$7:$E$30,1),""))</f>
        <v/>
      </c>
      <c r="D115" s="50" t="str">
        <f t="shared" si="2"/>
        <v/>
      </c>
      <c r="E115" s="68"/>
      <c r="F115" s="68"/>
      <c r="G115" s="68"/>
      <c r="H115" s="51"/>
      <c r="I115" s="68"/>
      <c r="J115" s="70"/>
      <c r="K115" s="71"/>
      <c r="L115" s="75" t="str">
        <f t="shared" si="3"/>
        <v/>
      </c>
    </row>
    <row r="116" spans="1:12" x14ac:dyDescent="0.25">
      <c r="A116" s="72" t="str">
        <f>IF($B116="","",COUNT($B$7:$B116))</f>
        <v/>
      </c>
      <c r="B116" s="74"/>
      <c r="C116" s="56" t="str">
        <f>IF($B116="","",IFERROR(MATCH($B116,Quincenas!$E$7:$E$30,1),""))</f>
        <v/>
      </c>
      <c r="D116" s="56" t="str">
        <f t="shared" si="2"/>
        <v/>
      </c>
      <c r="E116" s="68"/>
      <c r="F116" s="68"/>
      <c r="G116" s="68"/>
      <c r="H116" s="51"/>
      <c r="I116" s="68"/>
      <c r="J116" s="70"/>
      <c r="K116" s="71"/>
      <c r="L116" s="76" t="str">
        <f t="shared" si="3"/>
        <v/>
      </c>
    </row>
    <row r="117" spans="1:12" x14ac:dyDescent="0.25">
      <c r="A117" s="67" t="str">
        <f>IF($B117="","",COUNT($B$7:$B117))</f>
        <v/>
      </c>
      <c r="B117" s="74"/>
      <c r="C117" s="50" t="str">
        <f>IF($B117="","",IFERROR(MATCH($B117,Quincenas!$E$7:$E$30,1),""))</f>
        <v/>
      </c>
      <c r="D117" s="50" t="str">
        <f t="shared" si="2"/>
        <v/>
      </c>
      <c r="E117" s="68"/>
      <c r="F117" s="68"/>
      <c r="G117" s="68"/>
      <c r="H117" s="51"/>
      <c r="I117" s="68"/>
      <c r="J117" s="70"/>
      <c r="K117" s="71"/>
      <c r="L117" s="75" t="str">
        <f t="shared" si="3"/>
        <v/>
      </c>
    </row>
    <row r="118" spans="1:12" x14ac:dyDescent="0.25">
      <c r="A118" s="72" t="str">
        <f>IF($B118="","",COUNT($B$7:$B118))</f>
        <v/>
      </c>
      <c r="B118" s="74"/>
      <c r="C118" s="56" t="str">
        <f>IF($B118="","",IFERROR(MATCH($B118,Quincenas!$E$7:$E$30,1),""))</f>
        <v/>
      </c>
      <c r="D118" s="56" t="str">
        <f t="shared" si="2"/>
        <v/>
      </c>
      <c r="E118" s="68"/>
      <c r="F118" s="68"/>
      <c r="G118" s="68"/>
      <c r="H118" s="51"/>
      <c r="I118" s="68"/>
      <c r="J118" s="70"/>
      <c r="K118" s="71"/>
      <c r="L118" s="76" t="str">
        <f t="shared" si="3"/>
        <v/>
      </c>
    </row>
    <row r="119" spans="1:12" x14ac:dyDescent="0.25">
      <c r="A119" s="67" t="str">
        <f>IF($B119="","",COUNT($B$7:$B119))</f>
        <v/>
      </c>
      <c r="B119" s="74"/>
      <c r="C119" s="50" t="str">
        <f>IF($B119="","",IFERROR(MATCH($B119,Quincenas!$E$7:$E$30,1),""))</f>
        <v/>
      </c>
      <c r="D119" s="50" t="str">
        <f t="shared" si="2"/>
        <v/>
      </c>
      <c r="E119" s="68"/>
      <c r="F119" s="68"/>
      <c r="G119" s="68"/>
      <c r="H119" s="51"/>
      <c r="I119" s="68"/>
      <c r="J119" s="70"/>
      <c r="K119" s="71"/>
      <c r="L119" s="75" t="str">
        <f t="shared" si="3"/>
        <v/>
      </c>
    </row>
    <row r="120" spans="1:12" x14ac:dyDescent="0.25">
      <c r="A120" s="72" t="str">
        <f>IF($B120="","",COUNT($B$7:$B120))</f>
        <v/>
      </c>
      <c r="B120" s="74"/>
      <c r="C120" s="56" t="str">
        <f>IF($B120="","",IFERROR(MATCH($B120,Quincenas!$E$7:$E$30,1),""))</f>
        <v/>
      </c>
      <c r="D120" s="56" t="str">
        <f t="shared" si="2"/>
        <v/>
      </c>
      <c r="E120" s="68"/>
      <c r="F120" s="68"/>
      <c r="G120" s="68"/>
      <c r="H120" s="51"/>
      <c r="I120" s="68"/>
      <c r="J120" s="70"/>
      <c r="K120" s="71"/>
      <c r="L120" s="76" t="str">
        <f t="shared" si="3"/>
        <v/>
      </c>
    </row>
    <row r="121" spans="1:12" x14ac:dyDescent="0.25">
      <c r="A121" s="67" t="str">
        <f>IF($B121="","",COUNT($B$7:$B121))</f>
        <v/>
      </c>
      <c r="B121" s="74"/>
      <c r="C121" s="50" t="str">
        <f>IF($B121="","",IFERROR(MATCH($B121,Quincenas!$E$7:$E$30,1),""))</f>
        <v/>
      </c>
      <c r="D121" s="50" t="str">
        <f t="shared" si="2"/>
        <v/>
      </c>
      <c r="E121" s="68"/>
      <c r="F121" s="68"/>
      <c r="G121" s="68"/>
      <c r="H121" s="51"/>
      <c r="I121" s="68"/>
      <c r="J121" s="70"/>
      <c r="K121" s="71"/>
      <c r="L121" s="75" t="str">
        <f t="shared" si="3"/>
        <v/>
      </c>
    </row>
    <row r="122" spans="1:12" x14ac:dyDescent="0.25">
      <c r="A122" s="72" t="str">
        <f>IF($B122="","",COUNT($B$7:$B122))</f>
        <v/>
      </c>
      <c r="B122" s="74"/>
      <c r="C122" s="56" t="str">
        <f>IF($B122="","",IFERROR(MATCH($B122,Quincenas!$E$7:$E$30,1),""))</f>
        <v/>
      </c>
      <c r="D122" s="56" t="str">
        <f t="shared" si="2"/>
        <v/>
      </c>
      <c r="E122" s="68"/>
      <c r="F122" s="68"/>
      <c r="G122" s="68"/>
      <c r="H122" s="51"/>
      <c r="I122" s="68"/>
      <c r="J122" s="70"/>
      <c r="K122" s="71"/>
      <c r="L122" s="76" t="str">
        <f t="shared" si="3"/>
        <v/>
      </c>
    </row>
    <row r="123" spans="1:12" x14ac:dyDescent="0.25">
      <c r="A123" s="67" t="str">
        <f>IF($B123="","",COUNT($B$7:$B123))</f>
        <v/>
      </c>
      <c r="B123" s="74"/>
      <c r="C123" s="50" t="str">
        <f>IF($B123="","",IFERROR(MATCH($B123,Quincenas!$E$7:$E$30,1),""))</f>
        <v/>
      </c>
      <c r="D123" s="50" t="str">
        <f t="shared" si="2"/>
        <v/>
      </c>
      <c r="E123" s="68"/>
      <c r="F123" s="68"/>
      <c r="G123" s="68"/>
      <c r="H123" s="51"/>
      <c r="I123" s="68"/>
      <c r="J123" s="70"/>
      <c r="K123" s="71"/>
      <c r="L123" s="75" t="str">
        <f t="shared" si="3"/>
        <v/>
      </c>
    </row>
    <row r="124" spans="1:12" x14ac:dyDescent="0.25">
      <c r="A124" s="72" t="str">
        <f>IF($B124="","",COUNT($B$7:$B124))</f>
        <v/>
      </c>
      <c r="B124" s="74"/>
      <c r="C124" s="56" t="str">
        <f>IF($B124="","",IFERROR(MATCH($B124,Quincenas!$E$7:$E$30,1),""))</f>
        <v/>
      </c>
      <c r="D124" s="56" t="str">
        <f t="shared" si="2"/>
        <v/>
      </c>
      <c r="E124" s="68"/>
      <c r="F124" s="68"/>
      <c r="G124" s="68"/>
      <c r="H124" s="51"/>
      <c r="I124" s="68"/>
      <c r="J124" s="70"/>
      <c r="K124" s="71"/>
      <c r="L124" s="76" t="str">
        <f t="shared" si="3"/>
        <v/>
      </c>
    </row>
    <row r="125" spans="1:12" x14ac:dyDescent="0.25">
      <c r="A125" s="67" t="str">
        <f>IF($B125="","",COUNT($B$7:$B125))</f>
        <v/>
      </c>
      <c r="B125" s="74"/>
      <c r="C125" s="50" t="str">
        <f>IF($B125="","",IFERROR(MATCH($B125,Quincenas!$E$7:$E$30,1),""))</f>
        <v/>
      </c>
      <c r="D125" s="50" t="str">
        <f t="shared" si="2"/>
        <v/>
      </c>
      <c r="E125" s="68"/>
      <c r="F125" s="68"/>
      <c r="G125" s="68"/>
      <c r="H125" s="51"/>
      <c r="I125" s="68"/>
      <c r="J125" s="70"/>
      <c r="K125" s="71"/>
      <c r="L125" s="75" t="str">
        <f t="shared" si="3"/>
        <v/>
      </c>
    </row>
    <row r="126" spans="1:12" x14ac:dyDescent="0.25">
      <c r="A126" s="72" t="str">
        <f>IF($B126="","",COUNT($B$7:$B126))</f>
        <v/>
      </c>
      <c r="B126" s="74"/>
      <c r="C126" s="56" t="str">
        <f>IF($B126="","",IFERROR(MATCH($B126,Quincenas!$E$7:$E$30,1),""))</f>
        <v/>
      </c>
      <c r="D126" s="56" t="str">
        <f t="shared" si="2"/>
        <v/>
      </c>
      <c r="E126" s="68"/>
      <c r="F126" s="68"/>
      <c r="G126" s="68"/>
      <c r="H126" s="51"/>
      <c r="I126" s="68"/>
      <c r="J126" s="70"/>
      <c r="K126" s="71"/>
      <c r="L126" s="76" t="str">
        <f t="shared" si="3"/>
        <v/>
      </c>
    </row>
    <row r="127" spans="1:12" x14ac:dyDescent="0.25">
      <c r="A127" s="67" t="str">
        <f>IF($B127="","",COUNT($B$7:$B127))</f>
        <v/>
      </c>
      <c r="B127" s="74"/>
      <c r="C127" s="50" t="str">
        <f>IF($B127="","",IFERROR(MATCH($B127,Quincenas!$E$7:$E$30,1),""))</f>
        <v/>
      </c>
      <c r="D127" s="50" t="str">
        <f t="shared" si="2"/>
        <v/>
      </c>
      <c r="E127" s="68"/>
      <c r="F127" s="68"/>
      <c r="G127" s="68"/>
      <c r="H127" s="51"/>
      <c r="I127" s="68"/>
      <c r="J127" s="70"/>
      <c r="K127" s="71"/>
      <c r="L127" s="75" t="str">
        <f t="shared" si="3"/>
        <v/>
      </c>
    </row>
    <row r="128" spans="1:12" x14ac:dyDescent="0.25">
      <c r="A128" s="72" t="str">
        <f>IF($B128="","",COUNT($B$7:$B128))</f>
        <v/>
      </c>
      <c r="B128" s="74"/>
      <c r="C128" s="56" t="str">
        <f>IF($B128="","",IFERROR(MATCH($B128,Quincenas!$E$7:$E$30,1),""))</f>
        <v/>
      </c>
      <c r="D128" s="56" t="str">
        <f t="shared" si="2"/>
        <v/>
      </c>
      <c r="E128" s="68"/>
      <c r="F128" s="68"/>
      <c r="G128" s="68"/>
      <c r="H128" s="51"/>
      <c r="I128" s="68"/>
      <c r="J128" s="70"/>
      <c r="K128" s="71"/>
      <c r="L128" s="76" t="str">
        <f t="shared" si="3"/>
        <v/>
      </c>
    </row>
    <row r="129" spans="1:12" x14ac:dyDescent="0.25">
      <c r="A129" s="67" t="str">
        <f>IF($B129="","",COUNT($B$7:$B129))</f>
        <v/>
      </c>
      <c r="B129" s="74"/>
      <c r="C129" s="50" t="str">
        <f>IF($B129="","",IFERROR(MATCH($B129,Quincenas!$E$7:$E$30,1),""))</f>
        <v/>
      </c>
      <c r="D129" s="50" t="str">
        <f t="shared" si="2"/>
        <v/>
      </c>
      <c r="E129" s="68"/>
      <c r="F129" s="68"/>
      <c r="G129" s="68"/>
      <c r="H129" s="51"/>
      <c r="I129" s="68"/>
      <c r="J129" s="70"/>
      <c r="K129" s="71"/>
      <c r="L129" s="75" t="str">
        <f t="shared" si="3"/>
        <v/>
      </c>
    </row>
    <row r="130" spans="1:12" x14ac:dyDescent="0.25">
      <c r="A130" s="72" t="str">
        <f>IF($B130="","",COUNT($B$7:$B130))</f>
        <v/>
      </c>
      <c r="B130" s="74"/>
      <c r="C130" s="56" t="str">
        <f>IF($B130="","",IFERROR(MATCH($B130,Quincenas!$E$7:$E$30,1),""))</f>
        <v/>
      </c>
      <c r="D130" s="56" t="str">
        <f t="shared" si="2"/>
        <v/>
      </c>
      <c r="E130" s="68"/>
      <c r="F130" s="68"/>
      <c r="G130" s="68"/>
      <c r="H130" s="51"/>
      <c r="I130" s="68"/>
      <c r="J130" s="70"/>
      <c r="K130" s="71"/>
      <c r="L130" s="76" t="str">
        <f t="shared" si="3"/>
        <v/>
      </c>
    </row>
    <row r="131" spans="1:12" x14ac:dyDescent="0.25">
      <c r="A131" s="67" t="str">
        <f>IF($B131="","",COUNT($B$7:$B131))</f>
        <v/>
      </c>
      <c r="B131" s="74"/>
      <c r="C131" s="50" t="str">
        <f>IF($B131="","",IFERROR(MATCH($B131,Quincenas!$E$7:$E$30,1),""))</f>
        <v/>
      </c>
      <c r="D131" s="50" t="str">
        <f t="shared" ref="D131:D194" si="4">IF($B131="","",MONTH($B131))</f>
        <v/>
      </c>
      <c r="E131" s="68"/>
      <c r="F131" s="68"/>
      <c r="G131" s="68"/>
      <c r="H131" s="51"/>
      <c r="I131" s="68"/>
      <c r="J131" s="70"/>
      <c r="K131" s="71"/>
      <c r="L131" s="75" t="str">
        <f t="shared" ref="L131:L194" si="5">IF($B131="","",IF($C131="","La fecha está fuera del año configurado",IF($E131="","Falta indicar el tipo",IF($H131="","Falta el monto",IF($F131="","Falta la categoría",IF(AND($E131="Fijo",COUNTIF(Fijos_Concepto,$G131)=0),"El concepto no existe en la hoja Fijos",IF($J131="Pendiente","Movimiento pendiente de pago","OK")))))))</f>
        <v/>
      </c>
    </row>
    <row r="132" spans="1:12" x14ac:dyDescent="0.25">
      <c r="A132" s="72" t="str">
        <f>IF($B132="","",COUNT($B$7:$B132))</f>
        <v/>
      </c>
      <c r="B132" s="74"/>
      <c r="C132" s="56" t="str">
        <f>IF($B132="","",IFERROR(MATCH($B132,Quincenas!$E$7:$E$30,1),""))</f>
        <v/>
      </c>
      <c r="D132" s="56" t="str">
        <f t="shared" si="4"/>
        <v/>
      </c>
      <c r="E132" s="68"/>
      <c r="F132" s="68"/>
      <c r="G132" s="68"/>
      <c r="H132" s="51"/>
      <c r="I132" s="68"/>
      <c r="J132" s="70"/>
      <c r="K132" s="71"/>
      <c r="L132" s="76" t="str">
        <f t="shared" si="5"/>
        <v/>
      </c>
    </row>
    <row r="133" spans="1:12" x14ac:dyDescent="0.25">
      <c r="A133" s="67" t="str">
        <f>IF($B133="","",COUNT($B$7:$B133))</f>
        <v/>
      </c>
      <c r="B133" s="74"/>
      <c r="C133" s="50" t="str">
        <f>IF($B133="","",IFERROR(MATCH($B133,Quincenas!$E$7:$E$30,1),""))</f>
        <v/>
      </c>
      <c r="D133" s="50" t="str">
        <f t="shared" si="4"/>
        <v/>
      </c>
      <c r="E133" s="68"/>
      <c r="F133" s="68"/>
      <c r="G133" s="68"/>
      <c r="H133" s="51"/>
      <c r="I133" s="68"/>
      <c r="J133" s="70"/>
      <c r="K133" s="71"/>
      <c r="L133" s="75" t="str">
        <f t="shared" si="5"/>
        <v/>
      </c>
    </row>
    <row r="134" spans="1:12" x14ac:dyDescent="0.25">
      <c r="A134" s="72" t="str">
        <f>IF($B134="","",COUNT($B$7:$B134))</f>
        <v/>
      </c>
      <c r="B134" s="74"/>
      <c r="C134" s="56" t="str">
        <f>IF($B134="","",IFERROR(MATCH($B134,Quincenas!$E$7:$E$30,1),""))</f>
        <v/>
      </c>
      <c r="D134" s="56" t="str">
        <f t="shared" si="4"/>
        <v/>
      </c>
      <c r="E134" s="68"/>
      <c r="F134" s="68"/>
      <c r="G134" s="68"/>
      <c r="H134" s="51"/>
      <c r="I134" s="68"/>
      <c r="J134" s="70"/>
      <c r="K134" s="71"/>
      <c r="L134" s="76" t="str">
        <f t="shared" si="5"/>
        <v/>
      </c>
    </row>
    <row r="135" spans="1:12" x14ac:dyDescent="0.25">
      <c r="A135" s="67" t="str">
        <f>IF($B135="","",COUNT($B$7:$B135))</f>
        <v/>
      </c>
      <c r="B135" s="74"/>
      <c r="C135" s="50" t="str">
        <f>IF($B135="","",IFERROR(MATCH($B135,Quincenas!$E$7:$E$30,1),""))</f>
        <v/>
      </c>
      <c r="D135" s="50" t="str">
        <f t="shared" si="4"/>
        <v/>
      </c>
      <c r="E135" s="68"/>
      <c r="F135" s="68"/>
      <c r="G135" s="68"/>
      <c r="H135" s="51"/>
      <c r="I135" s="68"/>
      <c r="J135" s="70"/>
      <c r="K135" s="71"/>
      <c r="L135" s="75" t="str">
        <f t="shared" si="5"/>
        <v/>
      </c>
    </row>
    <row r="136" spans="1:12" x14ac:dyDescent="0.25">
      <c r="A136" s="72" t="str">
        <f>IF($B136="","",COUNT($B$7:$B136))</f>
        <v/>
      </c>
      <c r="B136" s="74"/>
      <c r="C136" s="56" t="str">
        <f>IF($B136="","",IFERROR(MATCH($B136,Quincenas!$E$7:$E$30,1),""))</f>
        <v/>
      </c>
      <c r="D136" s="56" t="str">
        <f t="shared" si="4"/>
        <v/>
      </c>
      <c r="E136" s="68"/>
      <c r="F136" s="68"/>
      <c r="G136" s="68"/>
      <c r="H136" s="51"/>
      <c r="I136" s="68"/>
      <c r="J136" s="70"/>
      <c r="K136" s="71"/>
      <c r="L136" s="76" t="str">
        <f t="shared" si="5"/>
        <v/>
      </c>
    </row>
    <row r="137" spans="1:12" x14ac:dyDescent="0.25">
      <c r="A137" s="67" t="str">
        <f>IF($B137="","",COUNT($B$7:$B137))</f>
        <v/>
      </c>
      <c r="B137" s="74"/>
      <c r="C137" s="50" t="str">
        <f>IF($B137="","",IFERROR(MATCH($B137,Quincenas!$E$7:$E$30,1),""))</f>
        <v/>
      </c>
      <c r="D137" s="50" t="str">
        <f t="shared" si="4"/>
        <v/>
      </c>
      <c r="E137" s="68"/>
      <c r="F137" s="68"/>
      <c r="G137" s="68"/>
      <c r="H137" s="51"/>
      <c r="I137" s="68"/>
      <c r="J137" s="70"/>
      <c r="K137" s="71"/>
      <c r="L137" s="75" t="str">
        <f t="shared" si="5"/>
        <v/>
      </c>
    </row>
    <row r="138" spans="1:12" x14ac:dyDescent="0.25">
      <c r="A138" s="72" t="str">
        <f>IF($B138="","",COUNT($B$7:$B138))</f>
        <v/>
      </c>
      <c r="B138" s="74"/>
      <c r="C138" s="56" t="str">
        <f>IF($B138="","",IFERROR(MATCH($B138,Quincenas!$E$7:$E$30,1),""))</f>
        <v/>
      </c>
      <c r="D138" s="56" t="str">
        <f t="shared" si="4"/>
        <v/>
      </c>
      <c r="E138" s="68"/>
      <c r="F138" s="68"/>
      <c r="G138" s="68"/>
      <c r="H138" s="51"/>
      <c r="I138" s="68"/>
      <c r="J138" s="70"/>
      <c r="K138" s="71"/>
      <c r="L138" s="76" t="str">
        <f t="shared" si="5"/>
        <v/>
      </c>
    </row>
    <row r="139" spans="1:12" x14ac:dyDescent="0.25">
      <c r="A139" s="67" t="str">
        <f>IF($B139="","",COUNT($B$7:$B139))</f>
        <v/>
      </c>
      <c r="B139" s="74"/>
      <c r="C139" s="50" t="str">
        <f>IF($B139="","",IFERROR(MATCH($B139,Quincenas!$E$7:$E$30,1),""))</f>
        <v/>
      </c>
      <c r="D139" s="50" t="str">
        <f t="shared" si="4"/>
        <v/>
      </c>
      <c r="E139" s="68"/>
      <c r="F139" s="68"/>
      <c r="G139" s="68"/>
      <c r="H139" s="51"/>
      <c r="I139" s="68"/>
      <c r="J139" s="70"/>
      <c r="K139" s="71"/>
      <c r="L139" s="75" t="str">
        <f t="shared" si="5"/>
        <v/>
      </c>
    </row>
    <row r="140" spans="1:12" x14ac:dyDescent="0.25">
      <c r="A140" s="72" t="str">
        <f>IF($B140="","",COUNT($B$7:$B140))</f>
        <v/>
      </c>
      <c r="B140" s="74"/>
      <c r="C140" s="56" t="str">
        <f>IF($B140="","",IFERROR(MATCH($B140,Quincenas!$E$7:$E$30,1),""))</f>
        <v/>
      </c>
      <c r="D140" s="56" t="str">
        <f t="shared" si="4"/>
        <v/>
      </c>
      <c r="E140" s="68"/>
      <c r="F140" s="68"/>
      <c r="G140" s="68"/>
      <c r="H140" s="51"/>
      <c r="I140" s="68"/>
      <c r="J140" s="70"/>
      <c r="K140" s="71"/>
      <c r="L140" s="76" t="str">
        <f t="shared" si="5"/>
        <v/>
      </c>
    </row>
    <row r="141" spans="1:12" x14ac:dyDescent="0.25">
      <c r="A141" s="67" t="str">
        <f>IF($B141="","",COUNT($B$7:$B141))</f>
        <v/>
      </c>
      <c r="B141" s="74"/>
      <c r="C141" s="50" t="str">
        <f>IF($B141="","",IFERROR(MATCH($B141,Quincenas!$E$7:$E$30,1),""))</f>
        <v/>
      </c>
      <c r="D141" s="50" t="str">
        <f t="shared" si="4"/>
        <v/>
      </c>
      <c r="E141" s="68"/>
      <c r="F141" s="68"/>
      <c r="G141" s="68"/>
      <c r="H141" s="51"/>
      <c r="I141" s="68"/>
      <c r="J141" s="70"/>
      <c r="K141" s="71"/>
      <c r="L141" s="75" t="str">
        <f t="shared" si="5"/>
        <v/>
      </c>
    </row>
    <row r="142" spans="1:12" x14ac:dyDescent="0.25">
      <c r="A142" s="72" t="str">
        <f>IF($B142="","",COUNT($B$7:$B142))</f>
        <v/>
      </c>
      <c r="B142" s="74"/>
      <c r="C142" s="56" t="str">
        <f>IF($B142="","",IFERROR(MATCH($B142,Quincenas!$E$7:$E$30,1),""))</f>
        <v/>
      </c>
      <c r="D142" s="56" t="str">
        <f t="shared" si="4"/>
        <v/>
      </c>
      <c r="E142" s="68"/>
      <c r="F142" s="68"/>
      <c r="G142" s="68"/>
      <c r="H142" s="51"/>
      <c r="I142" s="68"/>
      <c r="J142" s="70"/>
      <c r="K142" s="71"/>
      <c r="L142" s="76" t="str">
        <f t="shared" si="5"/>
        <v/>
      </c>
    </row>
    <row r="143" spans="1:12" x14ac:dyDescent="0.25">
      <c r="A143" s="67" t="str">
        <f>IF($B143="","",COUNT($B$7:$B143))</f>
        <v/>
      </c>
      <c r="B143" s="74"/>
      <c r="C143" s="50" t="str">
        <f>IF($B143="","",IFERROR(MATCH($B143,Quincenas!$E$7:$E$30,1),""))</f>
        <v/>
      </c>
      <c r="D143" s="50" t="str">
        <f t="shared" si="4"/>
        <v/>
      </c>
      <c r="E143" s="68"/>
      <c r="F143" s="68"/>
      <c r="G143" s="68"/>
      <c r="H143" s="51"/>
      <c r="I143" s="68"/>
      <c r="J143" s="70"/>
      <c r="K143" s="71"/>
      <c r="L143" s="75" t="str">
        <f t="shared" si="5"/>
        <v/>
      </c>
    </row>
    <row r="144" spans="1:12" x14ac:dyDescent="0.25">
      <c r="A144" s="72" t="str">
        <f>IF($B144="","",COUNT($B$7:$B144))</f>
        <v/>
      </c>
      <c r="B144" s="74"/>
      <c r="C144" s="56" t="str">
        <f>IF($B144="","",IFERROR(MATCH($B144,Quincenas!$E$7:$E$30,1),""))</f>
        <v/>
      </c>
      <c r="D144" s="56" t="str">
        <f t="shared" si="4"/>
        <v/>
      </c>
      <c r="E144" s="68"/>
      <c r="F144" s="68"/>
      <c r="G144" s="68"/>
      <c r="H144" s="51"/>
      <c r="I144" s="68"/>
      <c r="J144" s="70"/>
      <c r="K144" s="71"/>
      <c r="L144" s="76" t="str">
        <f t="shared" si="5"/>
        <v/>
      </c>
    </row>
    <row r="145" spans="1:12" x14ac:dyDescent="0.25">
      <c r="A145" s="67" t="str">
        <f>IF($B145="","",COUNT($B$7:$B145))</f>
        <v/>
      </c>
      <c r="B145" s="74"/>
      <c r="C145" s="50" t="str">
        <f>IF($B145="","",IFERROR(MATCH($B145,Quincenas!$E$7:$E$30,1),""))</f>
        <v/>
      </c>
      <c r="D145" s="50" t="str">
        <f t="shared" si="4"/>
        <v/>
      </c>
      <c r="E145" s="68"/>
      <c r="F145" s="68"/>
      <c r="G145" s="68"/>
      <c r="H145" s="51"/>
      <c r="I145" s="68"/>
      <c r="J145" s="70"/>
      <c r="K145" s="71"/>
      <c r="L145" s="75" t="str">
        <f t="shared" si="5"/>
        <v/>
      </c>
    </row>
    <row r="146" spans="1:12" x14ac:dyDescent="0.25">
      <c r="A146" s="72" t="str">
        <f>IF($B146="","",COUNT($B$7:$B146))</f>
        <v/>
      </c>
      <c r="B146" s="74"/>
      <c r="C146" s="56" t="str">
        <f>IF($B146="","",IFERROR(MATCH($B146,Quincenas!$E$7:$E$30,1),""))</f>
        <v/>
      </c>
      <c r="D146" s="56" t="str">
        <f t="shared" si="4"/>
        <v/>
      </c>
      <c r="E146" s="68"/>
      <c r="F146" s="68"/>
      <c r="G146" s="68"/>
      <c r="H146" s="51"/>
      <c r="I146" s="68"/>
      <c r="J146" s="70"/>
      <c r="K146" s="71"/>
      <c r="L146" s="76" t="str">
        <f t="shared" si="5"/>
        <v/>
      </c>
    </row>
    <row r="147" spans="1:12" x14ac:dyDescent="0.25">
      <c r="A147" s="67" t="str">
        <f>IF($B147="","",COUNT($B$7:$B147))</f>
        <v/>
      </c>
      <c r="B147" s="74"/>
      <c r="C147" s="50" t="str">
        <f>IF($B147="","",IFERROR(MATCH($B147,Quincenas!$E$7:$E$30,1),""))</f>
        <v/>
      </c>
      <c r="D147" s="50" t="str">
        <f t="shared" si="4"/>
        <v/>
      </c>
      <c r="E147" s="68"/>
      <c r="F147" s="68"/>
      <c r="G147" s="68"/>
      <c r="H147" s="51"/>
      <c r="I147" s="68"/>
      <c r="J147" s="70"/>
      <c r="K147" s="71"/>
      <c r="L147" s="75" t="str">
        <f t="shared" si="5"/>
        <v/>
      </c>
    </row>
    <row r="148" spans="1:12" x14ac:dyDescent="0.25">
      <c r="A148" s="72" t="str">
        <f>IF($B148="","",COUNT($B$7:$B148))</f>
        <v/>
      </c>
      <c r="B148" s="74"/>
      <c r="C148" s="56" t="str">
        <f>IF($B148="","",IFERROR(MATCH($B148,Quincenas!$E$7:$E$30,1),""))</f>
        <v/>
      </c>
      <c r="D148" s="56" t="str">
        <f t="shared" si="4"/>
        <v/>
      </c>
      <c r="E148" s="68"/>
      <c r="F148" s="68"/>
      <c r="G148" s="68"/>
      <c r="H148" s="51"/>
      <c r="I148" s="68"/>
      <c r="J148" s="70"/>
      <c r="K148" s="71"/>
      <c r="L148" s="76" t="str">
        <f t="shared" si="5"/>
        <v/>
      </c>
    </row>
    <row r="149" spans="1:12" x14ac:dyDescent="0.25">
      <c r="A149" s="67" t="str">
        <f>IF($B149="","",COUNT($B$7:$B149))</f>
        <v/>
      </c>
      <c r="B149" s="74"/>
      <c r="C149" s="50" t="str">
        <f>IF($B149="","",IFERROR(MATCH($B149,Quincenas!$E$7:$E$30,1),""))</f>
        <v/>
      </c>
      <c r="D149" s="50" t="str">
        <f t="shared" si="4"/>
        <v/>
      </c>
      <c r="E149" s="68"/>
      <c r="F149" s="68"/>
      <c r="G149" s="68"/>
      <c r="H149" s="51"/>
      <c r="I149" s="68"/>
      <c r="J149" s="70"/>
      <c r="K149" s="71"/>
      <c r="L149" s="75" t="str">
        <f t="shared" si="5"/>
        <v/>
      </c>
    </row>
    <row r="150" spans="1:12" x14ac:dyDescent="0.25">
      <c r="A150" s="72" t="str">
        <f>IF($B150="","",COUNT($B$7:$B150))</f>
        <v/>
      </c>
      <c r="B150" s="74"/>
      <c r="C150" s="56" t="str">
        <f>IF($B150="","",IFERROR(MATCH($B150,Quincenas!$E$7:$E$30,1),""))</f>
        <v/>
      </c>
      <c r="D150" s="56" t="str">
        <f t="shared" si="4"/>
        <v/>
      </c>
      <c r="E150" s="68"/>
      <c r="F150" s="68"/>
      <c r="G150" s="68"/>
      <c r="H150" s="51"/>
      <c r="I150" s="68"/>
      <c r="J150" s="70"/>
      <c r="K150" s="71"/>
      <c r="L150" s="76" t="str">
        <f t="shared" si="5"/>
        <v/>
      </c>
    </row>
    <row r="151" spans="1:12" x14ac:dyDescent="0.25">
      <c r="A151" s="67" t="str">
        <f>IF($B151="","",COUNT($B$7:$B151))</f>
        <v/>
      </c>
      <c r="B151" s="74"/>
      <c r="C151" s="50" t="str">
        <f>IF($B151="","",IFERROR(MATCH($B151,Quincenas!$E$7:$E$30,1),""))</f>
        <v/>
      </c>
      <c r="D151" s="50" t="str">
        <f t="shared" si="4"/>
        <v/>
      </c>
      <c r="E151" s="68"/>
      <c r="F151" s="68"/>
      <c r="G151" s="68"/>
      <c r="H151" s="51"/>
      <c r="I151" s="68"/>
      <c r="J151" s="70"/>
      <c r="K151" s="71"/>
      <c r="L151" s="75" t="str">
        <f t="shared" si="5"/>
        <v/>
      </c>
    </row>
    <row r="152" spans="1:12" x14ac:dyDescent="0.25">
      <c r="A152" s="72" t="str">
        <f>IF($B152="","",COUNT($B$7:$B152))</f>
        <v/>
      </c>
      <c r="B152" s="74"/>
      <c r="C152" s="56" t="str">
        <f>IF($B152="","",IFERROR(MATCH($B152,Quincenas!$E$7:$E$30,1),""))</f>
        <v/>
      </c>
      <c r="D152" s="56" t="str">
        <f t="shared" si="4"/>
        <v/>
      </c>
      <c r="E152" s="68"/>
      <c r="F152" s="68"/>
      <c r="G152" s="68"/>
      <c r="H152" s="51"/>
      <c r="I152" s="68"/>
      <c r="J152" s="70"/>
      <c r="K152" s="71"/>
      <c r="L152" s="76" t="str">
        <f t="shared" si="5"/>
        <v/>
      </c>
    </row>
    <row r="153" spans="1:12" x14ac:dyDescent="0.25">
      <c r="A153" s="67" t="str">
        <f>IF($B153="","",COUNT($B$7:$B153))</f>
        <v/>
      </c>
      <c r="B153" s="74"/>
      <c r="C153" s="50" t="str">
        <f>IF($B153="","",IFERROR(MATCH($B153,Quincenas!$E$7:$E$30,1),""))</f>
        <v/>
      </c>
      <c r="D153" s="50" t="str">
        <f t="shared" si="4"/>
        <v/>
      </c>
      <c r="E153" s="68"/>
      <c r="F153" s="68"/>
      <c r="G153" s="68"/>
      <c r="H153" s="51"/>
      <c r="I153" s="68"/>
      <c r="J153" s="70"/>
      <c r="K153" s="71"/>
      <c r="L153" s="75" t="str">
        <f t="shared" si="5"/>
        <v/>
      </c>
    </row>
    <row r="154" spans="1:12" x14ac:dyDescent="0.25">
      <c r="A154" s="72" t="str">
        <f>IF($B154="","",COUNT($B$7:$B154))</f>
        <v/>
      </c>
      <c r="B154" s="74"/>
      <c r="C154" s="56" t="str">
        <f>IF($B154="","",IFERROR(MATCH($B154,Quincenas!$E$7:$E$30,1),""))</f>
        <v/>
      </c>
      <c r="D154" s="56" t="str">
        <f t="shared" si="4"/>
        <v/>
      </c>
      <c r="E154" s="68"/>
      <c r="F154" s="68"/>
      <c r="G154" s="68"/>
      <c r="H154" s="51"/>
      <c r="I154" s="68"/>
      <c r="J154" s="70"/>
      <c r="K154" s="71"/>
      <c r="L154" s="76" t="str">
        <f t="shared" si="5"/>
        <v/>
      </c>
    </row>
    <row r="155" spans="1:12" x14ac:dyDescent="0.25">
      <c r="A155" s="67" t="str">
        <f>IF($B155="","",COUNT($B$7:$B155))</f>
        <v/>
      </c>
      <c r="B155" s="74"/>
      <c r="C155" s="50" t="str">
        <f>IF($B155="","",IFERROR(MATCH($B155,Quincenas!$E$7:$E$30,1),""))</f>
        <v/>
      </c>
      <c r="D155" s="50" t="str">
        <f t="shared" si="4"/>
        <v/>
      </c>
      <c r="E155" s="68"/>
      <c r="F155" s="68"/>
      <c r="G155" s="68"/>
      <c r="H155" s="51"/>
      <c r="I155" s="68"/>
      <c r="J155" s="70"/>
      <c r="K155" s="71"/>
      <c r="L155" s="75" t="str">
        <f t="shared" si="5"/>
        <v/>
      </c>
    </row>
    <row r="156" spans="1:12" x14ac:dyDescent="0.25">
      <c r="A156" s="72" t="str">
        <f>IF($B156="","",COUNT($B$7:$B156))</f>
        <v/>
      </c>
      <c r="B156" s="74"/>
      <c r="C156" s="56" t="str">
        <f>IF($B156="","",IFERROR(MATCH($B156,Quincenas!$E$7:$E$30,1),""))</f>
        <v/>
      </c>
      <c r="D156" s="56" t="str">
        <f t="shared" si="4"/>
        <v/>
      </c>
      <c r="E156" s="68"/>
      <c r="F156" s="68"/>
      <c r="G156" s="68"/>
      <c r="H156" s="51"/>
      <c r="I156" s="68"/>
      <c r="J156" s="70"/>
      <c r="K156" s="71"/>
      <c r="L156" s="76" t="str">
        <f t="shared" si="5"/>
        <v/>
      </c>
    </row>
    <row r="157" spans="1:12" x14ac:dyDescent="0.25">
      <c r="A157" s="67" t="str">
        <f>IF($B157="","",COUNT($B$7:$B157))</f>
        <v/>
      </c>
      <c r="B157" s="74"/>
      <c r="C157" s="50" t="str">
        <f>IF($B157="","",IFERROR(MATCH($B157,Quincenas!$E$7:$E$30,1),""))</f>
        <v/>
      </c>
      <c r="D157" s="50" t="str">
        <f t="shared" si="4"/>
        <v/>
      </c>
      <c r="E157" s="68"/>
      <c r="F157" s="68"/>
      <c r="G157" s="68"/>
      <c r="H157" s="51"/>
      <c r="I157" s="68"/>
      <c r="J157" s="70"/>
      <c r="K157" s="71"/>
      <c r="L157" s="75" t="str">
        <f t="shared" si="5"/>
        <v/>
      </c>
    </row>
    <row r="158" spans="1:12" x14ac:dyDescent="0.25">
      <c r="A158" s="72" t="str">
        <f>IF($B158="","",COUNT($B$7:$B158))</f>
        <v/>
      </c>
      <c r="B158" s="74"/>
      <c r="C158" s="56" t="str">
        <f>IF($B158="","",IFERROR(MATCH($B158,Quincenas!$E$7:$E$30,1),""))</f>
        <v/>
      </c>
      <c r="D158" s="56" t="str">
        <f t="shared" si="4"/>
        <v/>
      </c>
      <c r="E158" s="68"/>
      <c r="F158" s="68"/>
      <c r="G158" s="68"/>
      <c r="H158" s="51"/>
      <c r="I158" s="68"/>
      <c r="J158" s="70"/>
      <c r="K158" s="71"/>
      <c r="L158" s="76" t="str">
        <f t="shared" si="5"/>
        <v/>
      </c>
    </row>
    <row r="159" spans="1:12" x14ac:dyDescent="0.25">
      <c r="A159" s="67" t="str">
        <f>IF($B159="","",COUNT($B$7:$B159))</f>
        <v/>
      </c>
      <c r="B159" s="74"/>
      <c r="C159" s="50" t="str">
        <f>IF($B159="","",IFERROR(MATCH($B159,Quincenas!$E$7:$E$30,1),""))</f>
        <v/>
      </c>
      <c r="D159" s="50" t="str">
        <f t="shared" si="4"/>
        <v/>
      </c>
      <c r="E159" s="68"/>
      <c r="F159" s="68"/>
      <c r="G159" s="68"/>
      <c r="H159" s="51"/>
      <c r="I159" s="68"/>
      <c r="J159" s="70"/>
      <c r="K159" s="71"/>
      <c r="L159" s="75" t="str">
        <f t="shared" si="5"/>
        <v/>
      </c>
    </row>
    <row r="160" spans="1:12" x14ac:dyDescent="0.25">
      <c r="A160" s="72" t="str">
        <f>IF($B160="","",COUNT($B$7:$B160))</f>
        <v/>
      </c>
      <c r="B160" s="74"/>
      <c r="C160" s="56" t="str">
        <f>IF($B160="","",IFERROR(MATCH($B160,Quincenas!$E$7:$E$30,1),""))</f>
        <v/>
      </c>
      <c r="D160" s="56" t="str">
        <f t="shared" si="4"/>
        <v/>
      </c>
      <c r="E160" s="68"/>
      <c r="F160" s="68"/>
      <c r="G160" s="68"/>
      <c r="H160" s="51"/>
      <c r="I160" s="68"/>
      <c r="J160" s="70"/>
      <c r="K160" s="71"/>
      <c r="L160" s="76" t="str">
        <f t="shared" si="5"/>
        <v/>
      </c>
    </row>
    <row r="161" spans="1:12" x14ac:dyDescent="0.25">
      <c r="A161" s="67" t="str">
        <f>IF($B161="","",COUNT($B$7:$B161))</f>
        <v/>
      </c>
      <c r="B161" s="74"/>
      <c r="C161" s="50" t="str">
        <f>IF($B161="","",IFERROR(MATCH($B161,Quincenas!$E$7:$E$30,1),""))</f>
        <v/>
      </c>
      <c r="D161" s="50" t="str">
        <f t="shared" si="4"/>
        <v/>
      </c>
      <c r="E161" s="68"/>
      <c r="F161" s="68"/>
      <c r="G161" s="68"/>
      <c r="H161" s="51"/>
      <c r="I161" s="68"/>
      <c r="J161" s="70"/>
      <c r="K161" s="71"/>
      <c r="L161" s="75" t="str">
        <f t="shared" si="5"/>
        <v/>
      </c>
    </row>
    <row r="162" spans="1:12" x14ac:dyDescent="0.25">
      <c r="A162" s="72" t="str">
        <f>IF($B162="","",COUNT($B$7:$B162))</f>
        <v/>
      </c>
      <c r="B162" s="74"/>
      <c r="C162" s="56" t="str">
        <f>IF($B162="","",IFERROR(MATCH($B162,Quincenas!$E$7:$E$30,1),""))</f>
        <v/>
      </c>
      <c r="D162" s="56" t="str">
        <f t="shared" si="4"/>
        <v/>
      </c>
      <c r="E162" s="68"/>
      <c r="F162" s="68"/>
      <c r="G162" s="68"/>
      <c r="H162" s="51"/>
      <c r="I162" s="68"/>
      <c r="J162" s="70"/>
      <c r="K162" s="71"/>
      <c r="L162" s="76" t="str">
        <f t="shared" si="5"/>
        <v/>
      </c>
    </row>
    <row r="163" spans="1:12" x14ac:dyDescent="0.25">
      <c r="A163" s="67" t="str">
        <f>IF($B163="","",COUNT($B$7:$B163))</f>
        <v/>
      </c>
      <c r="B163" s="74"/>
      <c r="C163" s="50" t="str">
        <f>IF($B163="","",IFERROR(MATCH($B163,Quincenas!$E$7:$E$30,1),""))</f>
        <v/>
      </c>
      <c r="D163" s="50" t="str">
        <f t="shared" si="4"/>
        <v/>
      </c>
      <c r="E163" s="68"/>
      <c r="F163" s="68"/>
      <c r="G163" s="68"/>
      <c r="H163" s="51"/>
      <c r="I163" s="68"/>
      <c r="J163" s="70"/>
      <c r="K163" s="71"/>
      <c r="L163" s="75" t="str">
        <f t="shared" si="5"/>
        <v/>
      </c>
    </row>
    <row r="164" spans="1:12" x14ac:dyDescent="0.25">
      <c r="A164" s="72" t="str">
        <f>IF($B164="","",COUNT($B$7:$B164))</f>
        <v/>
      </c>
      <c r="B164" s="74"/>
      <c r="C164" s="56" t="str">
        <f>IF($B164="","",IFERROR(MATCH($B164,Quincenas!$E$7:$E$30,1),""))</f>
        <v/>
      </c>
      <c r="D164" s="56" t="str">
        <f t="shared" si="4"/>
        <v/>
      </c>
      <c r="E164" s="68"/>
      <c r="F164" s="68"/>
      <c r="G164" s="68"/>
      <c r="H164" s="51"/>
      <c r="I164" s="68"/>
      <c r="J164" s="70"/>
      <c r="K164" s="71"/>
      <c r="L164" s="76" t="str">
        <f t="shared" si="5"/>
        <v/>
      </c>
    </row>
    <row r="165" spans="1:12" x14ac:dyDescent="0.25">
      <c r="A165" s="67" t="str">
        <f>IF($B165="","",COUNT($B$7:$B165))</f>
        <v/>
      </c>
      <c r="B165" s="74"/>
      <c r="C165" s="50" t="str">
        <f>IF($B165="","",IFERROR(MATCH($B165,Quincenas!$E$7:$E$30,1),""))</f>
        <v/>
      </c>
      <c r="D165" s="50" t="str">
        <f t="shared" si="4"/>
        <v/>
      </c>
      <c r="E165" s="68"/>
      <c r="F165" s="68"/>
      <c r="G165" s="68"/>
      <c r="H165" s="51"/>
      <c r="I165" s="68"/>
      <c r="J165" s="70"/>
      <c r="K165" s="71"/>
      <c r="L165" s="75" t="str">
        <f t="shared" si="5"/>
        <v/>
      </c>
    </row>
    <row r="166" spans="1:12" x14ac:dyDescent="0.25">
      <c r="A166" s="72" t="str">
        <f>IF($B166="","",COUNT($B$7:$B166))</f>
        <v/>
      </c>
      <c r="B166" s="74"/>
      <c r="C166" s="56" t="str">
        <f>IF($B166="","",IFERROR(MATCH($B166,Quincenas!$E$7:$E$30,1),""))</f>
        <v/>
      </c>
      <c r="D166" s="56" t="str">
        <f t="shared" si="4"/>
        <v/>
      </c>
      <c r="E166" s="68"/>
      <c r="F166" s="68"/>
      <c r="G166" s="68"/>
      <c r="H166" s="51"/>
      <c r="I166" s="68"/>
      <c r="J166" s="70"/>
      <c r="K166" s="71"/>
      <c r="L166" s="76" t="str">
        <f t="shared" si="5"/>
        <v/>
      </c>
    </row>
    <row r="167" spans="1:12" x14ac:dyDescent="0.25">
      <c r="A167" s="67" t="str">
        <f>IF($B167="","",COUNT($B$7:$B167))</f>
        <v/>
      </c>
      <c r="B167" s="74"/>
      <c r="C167" s="50" t="str">
        <f>IF($B167="","",IFERROR(MATCH($B167,Quincenas!$E$7:$E$30,1),""))</f>
        <v/>
      </c>
      <c r="D167" s="50" t="str">
        <f t="shared" si="4"/>
        <v/>
      </c>
      <c r="E167" s="68"/>
      <c r="F167" s="68"/>
      <c r="G167" s="68"/>
      <c r="H167" s="51"/>
      <c r="I167" s="68"/>
      <c r="J167" s="70"/>
      <c r="K167" s="71"/>
      <c r="L167" s="75" t="str">
        <f t="shared" si="5"/>
        <v/>
      </c>
    </row>
    <row r="168" spans="1:12" x14ac:dyDescent="0.25">
      <c r="A168" s="72" t="str">
        <f>IF($B168="","",COUNT($B$7:$B168))</f>
        <v/>
      </c>
      <c r="B168" s="74"/>
      <c r="C168" s="56" t="str">
        <f>IF($B168="","",IFERROR(MATCH($B168,Quincenas!$E$7:$E$30,1),""))</f>
        <v/>
      </c>
      <c r="D168" s="56" t="str">
        <f t="shared" si="4"/>
        <v/>
      </c>
      <c r="E168" s="68"/>
      <c r="F168" s="68"/>
      <c r="G168" s="68"/>
      <c r="H168" s="51"/>
      <c r="I168" s="68"/>
      <c r="J168" s="70"/>
      <c r="K168" s="71"/>
      <c r="L168" s="76" t="str">
        <f t="shared" si="5"/>
        <v/>
      </c>
    </row>
    <row r="169" spans="1:12" x14ac:dyDescent="0.25">
      <c r="A169" s="67" t="str">
        <f>IF($B169="","",COUNT($B$7:$B169))</f>
        <v/>
      </c>
      <c r="B169" s="74"/>
      <c r="C169" s="50" t="str">
        <f>IF($B169="","",IFERROR(MATCH($B169,Quincenas!$E$7:$E$30,1),""))</f>
        <v/>
      </c>
      <c r="D169" s="50" t="str">
        <f t="shared" si="4"/>
        <v/>
      </c>
      <c r="E169" s="68"/>
      <c r="F169" s="68"/>
      <c r="G169" s="68"/>
      <c r="H169" s="51"/>
      <c r="I169" s="68"/>
      <c r="J169" s="70"/>
      <c r="K169" s="71"/>
      <c r="L169" s="75" t="str">
        <f t="shared" si="5"/>
        <v/>
      </c>
    </row>
    <row r="170" spans="1:12" x14ac:dyDescent="0.25">
      <c r="A170" s="72" t="str">
        <f>IF($B170="","",COUNT($B$7:$B170))</f>
        <v/>
      </c>
      <c r="B170" s="74"/>
      <c r="C170" s="56" t="str">
        <f>IF($B170="","",IFERROR(MATCH($B170,Quincenas!$E$7:$E$30,1),""))</f>
        <v/>
      </c>
      <c r="D170" s="56" t="str">
        <f t="shared" si="4"/>
        <v/>
      </c>
      <c r="E170" s="68"/>
      <c r="F170" s="68"/>
      <c r="G170" s="68"/>
      <c r="H170" s="51"/>
      <c r="I170" s="68"/>
      <c r="J170" s="70"/>
      <c r="K170" s="71"/>
      <c r="L170" s="76" t="str">
        <f t="shared" si="5"/>
        <v/>
      </c>
    </row>
    <row r="171" spans="1:12" x14ac:dyDescent="0.25">
      <c r="A171" s="67" t="str">
        <f>IF($B171="","",COUNT($B$7:$B171))</f>
        <v/>
      </c>
      <c r="B171" s="74"/>
      <c r="C171" s="50" t="str">
        <f>IF($B171="","",IFERROR(MATCH($B171,Quincenas!$E$7:$E$30,1),""))</f>
        <v/>
      </c>
      <c r="D171" s="50" t="str">
        <f t="shared" si="4"/>
        <v/>
      </c>
      <c r="E171" s="68"/>
      <c r="F171" s="68"/>
      <c r="G171" s="68"/>
      <c r="H171" s="51"/>
      <c r="I171" s="68"/>
      <c r="J171" s="70"/>
      <c r="K171" s="71"/>
      <c r="L171" s="75" t="str">
        <f t="shared" si="5"/>
        <v/>
      </c>
    </row>
    <row r="172" spans="1:12" x14ac:dyDescent="0.25">
      <c r="A172" s="72" t="str">
        <f>IF($B172="","",COUNT($B$7:$B172))</f>
        <v/>
      </c>
      <c r="B172" s="74"/>
      <c r="C172" s="56" t="str">
        <f>IF($B172="","",IFERROR(MATCH($B172,Quincenas!$E$7:$E$30,1),""))</f>
        <v/>
      </c>
      <c r="D172" s="56" t="str">
        <f t="shared" si="4"/>
        <v/>
      </c>
      <c r="E172" s="68"/>
      <c r="F172" s="68"/>
      <c r="G172" s="68"/>
      <c r="H172" s="51"/>
      <c r="I172" s="68"/>
      <c r="J172" s="70"/>
      <c r="K172" s="71"/>
      <c r="L172" s="76" t="str">
        <f t="shared" si="5"/>
        <v/>
      </c>
    </row>
    <row r="173" spans="1:12" x14ac:dyDescent="0.25">
      <c r="A173" s="67" t="str">
        <f>IF($B173="","",COUNT($B$7:$B173))</f>
        <v/>
      </c>
      <c r="B173" s="74"/>
      <c r="C173" s="50" t="str">
        <f>IF($B173="","",IFERROR(MATCH($B173,Quincenas!$E$7:$E$30,1),""))</f>
        <v/>
      </c>
      <c r="D173" s="50" t="str">
        <f t="shared" si="4"/>
        <v/>
      </c>
      <c r="E173" s="68"/>
      <c r="F173" s="68"/>
      <c r="G173" s="68"/>
      <c r="H173" s="51"/>
      <c r="I173" s="68"/>
      <c r="J173" s="70"/>
      <c r="K173" s="71"/>
      <c r="L173" s="75" t="str">
        <f t="shared" si="5"/>
        <v/>
      </c>
    </row>
    <row r="174" spans="1:12" x14ac:dyDescent="0.25">
      <c r="A174" s="72" t="str">
        <f>IF($B174="","",COUNT($B$7:$B174))</f>
        <v/>
      </c>
      <c r="B174" s="74"/>
      <c r="C174" s="56" t="str">
        <f>IF($B174="","",IFERROR(MATCH($B174,Quincenas!$E$7:$E$30,1),""))</f>
        <v/>
      </c>
      <c r="D174" s="56" t="str">
        <f t="shared" si="4"/>
        <v/>
      </c>
      <c r="E174" s="68"/>
      <c r="F174" s="68"/>
      <c r="G174" s="68"/>
      <c r="H174" s="51"/>
      <c r="I174" s="68"/>
      <c r="J174" s="70"/>
      <c r="K174" s="71"/>
      <c r="L174" s="76" t="str">
        <f t="shared" si="5"/>
        <v/>
      </c>
    </row>
    <row r="175" spans="1:12" x14ac:dyDescent="0.25">
      <c r="A175" s="67" t="str">
        <f>IF($B175="","",COUNT($B$7:$B175))</f>
        <v/>
      </c>
      <c r="B175" s="74"/>
      <c r="C175" s="50" t="str">
        <f>IF($B175="","",IFERROR(MATCH($B175,Quincenas!$E$7:$E$30,1),""))</f>
        <v/>
      </c>
      <c r="D175" s="50" t="str">
        <f t="shared" si="4"/>
        <v/>
      </c>
      <c r="E175" s="68"/>
      <c r="F175" s="68"/>
      <c r="G175" s="68"/>
      <c r="H175" s="51"/>
      <c r="I175" s="68"/>
      <c r="J175" s="70"/>
      <c r="K175" s="71"/>
      <c r="L175" s="75" t="str">
        <f t="shared" si="5"/>
        <v/>
      </c>
    </row>
    <row r="176" spans="1:12" x14ac:dyDescent="0.25">
      <c r="A176" s="72" t="str">
        <f>IF($B176="","",COUNT($B$7:$B176))</f>
        <v/>
      </c>
      <c r="B176" s="74"/>
      <c r="C176" s="56" t="str">
        <f>IF($B176="","",IFERROR(MATCH($B176,Quincenas!$E$7:$E$30,1),""))</f>
        <v/>
      </c>
      <c r="D176" s="56" t="str">
        <f t="shared" si="4"/>
        <v/>
      </c>
      <c r="E176" s="68"/>
      <c r="F176" s="68"/>
      <c r="G176" s="68"/>
      <c r="H176" s="51"/>
      <c r="I176" s="68"/>
      <c r="J176" s="70"/>
      <c r="K176" s="71"/>
      <c r="L176" s="76" t="str">
        <f t="shared" si="5"/>
        <v/>
      </c>
    </row>
    <row r="177" spans="1:12" x14ac:dyDescent="0.25">
      <c r="A177" s="67" t="str">
        <f>IF($B177="","",COUNT($B$7:$B177))</f>
        <v/>
      </c>
      <c r="B177" s="74"/>
      <c r="C177" s="50" t="str">
        <f>IF($B177="","",IFERROR(MATCH($B177,Quincenas!$E$7:$E$30,1),""))</f>
        <v/>
      </c>
      <c r="D177" s="50" t="str">
        <f t="shared" si="4"/>
        <v/>
      </c>
      <c r="E177" s="68"/>
      <c r="F177" s="68"/>
      <c r="G177" s="68"/>
      <c r="H177" s="51"/>
      <c r="I177" s="68"/>
      <c r="J177" s="70"/>
      <c r="K177" s="71"/>
      <c r="L177" s="75" t="str">
        <f t="shared" si="5"/>
        <v/>
      </c>
    </row>
    <row r="178" spans="1:12" x14ac:dyDescent="0.25">
      <c r="A178" s="72" t="str">
        <f>IF($B178="","",COUNT($B$7:$B178))</f>
        <v/>
      </c>
      <c r="B178" s="74"/>
      <c r="C178" s="56" t="str">
        <f>IF($B178="","",IFERROR(MATCH($B178,Quincenas!$E$7:$E$30,1),""))</f>
        <v/>
      </c>
      <c r="D178" s="56" t="str">
        <f t="shared" si="4"/>
        <v/>
      </c>
      <c r="E178" s="68"/>
      <c r="F178" s="68"/>
      <c r="G178" s="68"/>
      <c r="H178" s="51"/>
      <c r="I178" s="68"/>
      <c r="J178" s="70"/>
      <c r="K178" s="71"/>
      <c r="L178" s="76" t="str">
        <f t="shared" si="5"/>
        <v/>
      </c>
    </row>
    <row r="179" spans="1:12" x14ac:dyDescent="0.25">
      <c r="A179" s="67" t="str">
        <f>IF($B179="","",COUNT($B$7:$B179))</f>
        <v/>
      </c>
      <c r="B179" s="74"/>
      <c r="C179" s="50" t="str">
        <f>IF($B179="","",IFERROR(MATCH($B179,Quincenas!$E$7:$E$30,1),""))</f>
        <v/>
      </c>
      <c r="D179" s="50" t="str">
        <f t="shared" si="4"/>
        <v/>
      </c>
      <c r="E179" s="68"/>
      <c r="F179" s="68"/>
      <c r="G179" s="68"/>
      <c r="H179" s="51"/>
      <c r="I179" s="68"/>
      <c r="J179" s="70"/>
      <c r="K179" s="71"/>
      <c r="L179" s="75" t="str">
        <f t="shared" si="5"/>
        <v/>
      </c>
    </row>
    <row r="180" spans="1:12" x14ac:dyDescent="0.25">
      <c r="A180" s="72" t="str">
        <f>IF($B180="","",COUNT($B$7:$B180))</f>
        <v/>
      </c>
      <c r="B180" s="74"/>
      <c r="C180" s="56" t="str">
        <f>IF($B180="","",IFERROR(MATCH($B180,Quincenas!$E$7:$E$30,1),""))</f>
        <v/>
      </c>
      <c r="D180" s="56" t="str">
        <f t="shared" si="4"/>
        <v/>
      </c>
      <c r="E180" s="68"/>
      <c r="F180" s="68"/>
      <c r="G180" s="68"/>
      <c r="H180" s="51"/>
      <c r="I180" s="68"/>
      <c r="J180" s="70"/>
      <c r="K180" s="71"/>
      <c r="L180" s="76" t="str">
        <f t="shared" si="5"/>
        <v/>
      </c>
    </row>
    <row r="181" spans="1:12" x14ac:dyDescent="0.25">
      <c r="A181" s="67" t="str">
        <f>IF($B181="","",COUNT($B$7:$B181))</f>
        <v/>
      </c>
      <c r="B181" s="74"/>
      <c r="C181" s="50" t="str">
        <f>IF($B181="","",IFERROR(MATCH($B181,Quincenas!$E$7:$E$30,1),""))</f>
        <v/>
      </c>
      <c r="D181" s="50" t="str">
        <f t="shared" si="4"/>
        <v/>
      </c>
      <c r="E181" s="68"/>
      <c r="F181" s="68"/>
      <c r="G181" s="68"/>
      <c r="H181" s="51"/>
      <c r="I181" s="68"/>
      <c r="J181" s="70"/>
      <c r="K181" s="71"/>
      <c r="L181" s="75" t="str">
        <f t="shared" si="5"/>
        <v/>
      </c>
    </row>
    <row r="182" spans="1:12" x14ac:dyDescent="0.25">
      <c r="A182" s="72" t="str">
        <f>IF($B182="","",COUNT($B$7:$B182))</f>
        <v/>
      </c>
      <c r="B182" s="74"/>
      <c r="C182" s="56" t="str">
        <f>IF($B182="","",IFERROR(MATCH($B182,Quincenas!$E$7:$E$30,1),""))</f>
        <v/>
      </c>
      <c r="D182" s="56" t="str">
        <f t="shared" si="4"/>
        <v/>
      </c>
      <c r="E182" s="68"/>
      <c r="F182" s="68"/>
      <c r="G182" s="68"/>
      <c r="H182" s="51"/>
      <c r="I182" s="68"/>
      <c r="J182" s="70"/>
      <c r="K182" s="71"/>
      <c r="L182" s="76" t="str">
        <f t="shared" si="5"/>
        <v/>
      </c>
    </row>
    <row r="183" spans="1:12" x14ac:dyDescent="0.25">
      <c r="A183" s="67" t="str">
        <f>IF($B183="","",COUNT($B$7:$B183))</f>
        <v/>
      </c>
      <c r="B183" s="74"/>
      <c r="C183" s="50" t="str">
        <f>IF($B183="","",IFERROR(MATCH($B183,Quincenas!$E$7:$E$30,1),""))</f>
        <v/>
      </c>
      <c r="D183" s="50" t="str">
        <f t="shared" si="4"/>
        <v/>
      </c>
      <c r="E183" s="68"/>
      <c r="F183" s="68"/>
      <c r="G183" s="68"/>
      <c r="H183" s="51"/>
      <c r="I183" s="68"/>
      <c r="J183" s="70"/>
      <c r="K183" s="71"/>
      <c r="L183" s="75" t="str">
        <f t="shared" si="5"/>
        <v/>
      </c>
    </row>
    <row r="184" spans="1:12" x14ac:dyDescent="0.25">
      <c r="A184" s="72" t="str">
        <f>IF($B184="","",COUNT($B$7:$B184))</f>
        <v/>
      </c>
      <c r="B184" s="74"/>
      <c r="C184" s="56" t="str">
        <f>IF($B184="","",IFERROR(MATCH($B184,Quincenas!$E$7:$E$30,1),""))</f>
        <v/>
      </c>
      <c r="D184" s="56" t="str">
        <f t="shared" si="4"/>
        <v/>
      </c>
      <c r="E184" s="68"/>
      <c r="F184" s="68"/>
      <c r="G184" s="68"/>
      <c r="H184" s="51"/>
      <c r="I184" s="68"/>
      <c r="J184" s="70"/>
      <c r="K184" s="71"/>
      <c r="L184" s="76" t="str">
        <f t="shared" si="5"/>
        <v/>
      </c>
    </row>
    <row r="185" spans="1:12" x14ac:dyDescent="0.25">
      <c r="A185" s="67" t="str">
        <f>IF($B185="","",COUNT($B$7:$B185))</f>
        <v/>
      </c>
      <c r="B185" s="74"/>
      <c r="C185" s="50" t="str">
        <f>IF($B185="","",IFERROR(MATCH($B185,Quincenas!$E$7:$E$30,1),""))</f>
        <v/>
      </c>
      <c r="D185" s="50" t="str">
        <f t="shared" si="4"/>
        <v/>
      </c>
      <c r="E185" s="68"/>
      <c r="F185" s="68"/>
      <c r="G185" s="68"/>
      <c r="H185" s="51"/>
      <c r="I185" s="68"/>
      <c r="J185" s="70"/>
      <c r="K185" s="71"/>
      <c r="L185" s="75" t="str">
        <f t="shared" si="5"/>
        <v/>
      </c>
    </row>
    <row r="186" spans="1:12" x14ac:dyDescent="0.25">
      <c r="A186" s="72" t="str">
        <f>IF($B186="","",COUNT($B$7:$B186))</f>
        <v/>
      </c>
      <c r="B186" s="74"/>
      <c r="C186" s="56" t="str">
        <f>IF($B186="","",IFERROR(MATCH($B186,Quincenas!$E$7:$E$30,1),""))</f>
        <v/>
      </c>
      <c r="D186" s="56" t="str">
        <f t="shared" si="4"/>
        <v/>
      </c>
      <c r="E186" s="68"/>
      <c r="F186" s="68"/>
      <c r="G186" s="68"/>
      <c r="H186" s="51"/>
      <c r="I186" s="68"/>
      <c r="J186" s="70"/>
      <c r="K186" s="71"/>
      <c r="L186" s="76" t="str">
        <f t="shared" si="5"/>
        <v/>
      </c>
    </row>
    <row r="187" spans="1:12" x14ac:dyDescent="0.25">
      <c r="A187" s="67" t="str">
        <f>IF($B187="","",COUNT($B$7:$B187))</f>
        <v/>
      </c>
      <c r="B187" s="74"/>
      <c r="C187" s="50" t="str">
        <f>IF($B187="","",IFERROR(MATCH($B187,Quincenas!$E$7:$E$30,1),""))</f>
        <v/>
      </c>
      <c r="D187" s="50" t="str">
        <f t="shared" si="4"/>
        <v/>
      </c>
      <c r="E187" s="68"/>
      <c r="F187" s="68"/>
      <c r="G187" s="68"/>
      <c r="H187" s="51"/>
      <c r="I187" s="68"/>
      <c r="J187" s="70"/>
      <c r="K187" s="71"/>
      <c r="L187" s="75" t="str">
        <f t="shared" si="5"/>
        <v/>
      </c>
    </row>
    <row r="188" spans="1:12" x14ac:dyDescent="0.25">
      <c r="A188" s="72" t="str">
        <f>IF($B188="","",COUNT($B$7:$B188))</f>
        <v/>
      </c>
      <c r="B188" s="74"/>
      <c r="C188" s="56" t="str">
        <f>IF($B188="","",IFERROR(MATCH($B188,Quincenas!$E$7:$E$30,1),""))</f>
        <v/>
      </c>
      <c r="D188" s="56" t="str">
        <f t="shared" si="4"/>
        <v/>
      </c>
      <c r="E188" s="68"/>
      <c r="F188" s="68"/>
      <c r="G188" s="68"/>
      <c r="H188" s="51"/>
      <c r="I188" s="68"/>
      <c r="J188" s="70"/>
      <c r="K188" s="71"/>
      <c r="L188" s="76" t="str">
        <f t="shared" si="5"/>
        <v/>
      </c>
    </row>
    <row r="189" spans="1:12" x14ac:dyDescent="0.25">
      <c r="A189" s="67" t="str">
        <f>IF($B189="","",COUNT($B$7:$B189))</f>
        <v/>
      </c>
      <c r="B189" s="74"/>
      <c r="C189" s="50" t="str">
        <f>IF($B189="","",IFERROR(MATCH($B189,Quincenas!$E$7:$E$30,1),""))</f>
        <v/>
      </c>
      <c r="D189" s="50" t="str">
        <f t="shared" si="4"/>
        <v/>
      </c>
      <c r="E189" s="68"/>
      <c r="F189" s="68"/>
      <c r="G189" s="68"/>
      <c r="H189" s="51"/>
      <c r="I189" s="68"/>
      <c r="J189" s="70"/>
      <c r="K189" s="71"/>
      <c r="L189" s="75" t="str">
        <f t="shared" si="5"/>
        <v/>
      </c>
    </row>
    <row r="190" spans="1:12" x14ac:dyDescent="0.25">
      <c r="A190" s="72" t="str">
        <f>IF($B190="","",COUNT($B$7:$B190))</f>
        <v/>
      </c>
      <c r="B190" s="74"/>
      <c r="C190" s="56" t="str">
        <f>IF($B190="","",IFERROR(MATCH($B190,Quincenas!$E$7:$E$30,1),""))</f>
        <v/>
      </c>
      <c r="D190" s="56" t="str">
        <f t="shared" si="4"/>
        <v/>
      </c>
      <c r="E190" s="68"/>
      <c r="F190" s="68"/>
      <c r="G190" s="68"/>
      <c r="H190" s="51"/>
      <c r="I190" s="68"/>
      <c r="J190" s="70"/>
      <c r="K190" s="71"/>
      <c r="L190" s="76" t="str">
        <f t="shared" si="5"/>
        <v/>
      </c>
    </row>
    <row r="191" spans="1:12" x14ac:dyDescent="0.25">
      <c r="A191" s="67" t="str">
        <f>IF($B191="","",COUNT($B$7:$B191))</f>
        <v/>
      </c>
      <c r="B191" s="74"/>
      <c r="C191" s="50" t="str">
        <f>IF($B191="","",IFERROR(MATCH($B191,Quincenas!$E$7:$E$30,1),""))</f>
        <v/>
      </c>
      <c r="D191" s="50" t="str">
        <f t="shared" si="4"/>
        <v/>
      </c>
      <c r="E191" s="68"/>
      <c r="F191" s="68"/>
      <c r="G191" s="68"/>
      <c r="H191" s="51"/>
      <c r="I191" s="68"/>
      <c r="J191" s="70"/>
      <c r="K191" s="71"/>
      <c r="L191" s="75" t="str">
        <f t="shared" si="5"/>
        <v/>
      </c>
    </row>
    <row r="192" spans="1:12" x14ac:dyDescent="0.25">
      <c r="A192" s="72" t="str">
        <f>IF($B192="","",COUNT($B$7:$B192))</f>
        <v/>
      </c>
      <c r="B192" s="74"/>
      <c r="C192" s="56" t="str">
        <f>IF($B192="","",IFERROR(MATCH($B192,Quincenas!$E$7:$E$30,1),""))</f>
        <v/>
      </c>
      <c r="D192" s="56" t="str">
        <f t="shared" si="4"/>
        <v/>
      </c>
      <c r="E192" s="68"/>
      <c r="F192" s="68"/>
      <c r="G192" s="68"/>
      <c r="H192" s="51"/>
      <c r="I192" s="68"/>
      <c r="J192" s="70"/>
      <c r="K192" s="71"/>
      <c r="L192" s="76" t="str">
        <f t="shared" si="5"/>
        <v/>
      </c>
    </row>
    <row r="193" spans="1:12" x14ac:dyDescent="0.25">
      <c r="A193" s="67" t="str">
        <f>IF($B193="","",COUNT($B$7:$B193))</f>
        <v/>
      </c>
      <c r="B193" s="74"/>
      <c r="C193" s="50" t="str">
        <f>IF($B193="","",IFERROR(MATCH($B193,Quincenas!$E$7:$E$30,1),""))</f>
        <v/>
      </c>
      <c r="D193" s="50" t="str">
        <f t="shared" si="4"/>
        <v/>
      </c>
      <c r="E193" s="68"/>
      <c r="F193" s="68"/>
      <c r="G193" s="68"/>
      <c r="H193" s="51"/>
      <c r="I193" s="68"/>
      <c r="J193" s="70"/>
      <c r="K193" s="71"/>
      <c r="L193" s="75" t="str">
        <f t="shared" si="5"/>
        <v/>
      </c>
    </row>
    <row r="194" spans="1:12" x14ac:dyDescent="0.25">
      <c r="A194" s="72" t="str">
        <f>IF($B194="","",COUNT($B$7:$B194))</f>
        <v/>
      </c>
      <c r="B194" s="74"/>
      <c r="C194" s="56" t="str">
        <f>IF($B194="","",IFERROR(MATCH($B194,Quincenas!$E$7:$E$30,1),""))</f>
        <v/>
      </c>
      <c r="D194" s="56" t="str">
        <f t="shared" si="4"/>
        <v/>
      </c>
      <c r="E194" s="68"/>
      <c r="F194" s="68"/>
      <c r="G194" s="68"/>
      <c r="H194" s="51"/>
      <c r="I194" s="68"/>
      <c r="J194" s="70"/>
      <c r="K194" s="71"/>
      <c r="L194" s="76" t="str">
        <f t="shared" si="5"/>
        <v/>
      </c>
    </row>
    <row r="195" spans="1:12" x14ac:dyDescent="0.25">
      <c r="A195" s="67" t="str">
        <f>IF($B195="","",COUNT($B$7:$B195))</f>
        <v/>
      </c>
      <c r="B195" s="74"/>
      <c r="C195" s="50" t="str">
        <f>IF($B195="","",IFERROR(MATCH($B195,Quincenas!$E$7:$E$30,1),""))</f>
        <v/>
      </c>
      <c r="D195" s="50" t="str">
        <f t="shared" ref="D195:D258" si="6">IF($B195="","",MONTH($B195))</f>
        <v/>
      </c>
      <c r="E195" s="68"/>
      <c r="F195" s="68"/>
      <c r="G195" s="68"/>
      <c r="H195" s="51"/>
      <c r="I195" s="68"/>
      <c r="J195" s="70"/>
      <c r="K195" s="71"/>
      <c r="L195" s="75" t="str">
        <f t="shared" ref="L195:L258" si="7">IF($B195="","",IF($C195="","La fecha está fuera del año configurado",IF($E195="","Falta indicar el tipo",IF($H195="","Falta el monto",IF($F195="","Falta la categoría",IF(AND($E195="Fijo",COUNTIF(Fijos_Concepto,$G195)=0),"El concepto no existe en la hoja Fijos",IF($J195="Pendiente","Movimiento pendiente de pago","OK")))))))</f>
        <v/>
      </c>
    </row>
    <row r="196" spans="1:12" x14ac:dyDescent="0.25">
      <c r="A196" s="72" t="str">
        <f>IF($B196="","",COUNT($B$7:$B196))</f>
        <v/>
      </c>
      <c r="B196" s="74"/>
      <c r="C196" s="56" t="str">
        <f>IF($B196="","",IFERROR(MATCH($B196,Quincenas!$E$7:$E$30,1),""))</f>
        <v/>
      </c>
      <c r="D196" s="56" t="str">
        <f t="shared" si="6"/>
        <v/>
      </c>
      <c r="E196" s="68"/>
      <c r="F196" s="68"/>
      <c r="G196" s="68"/>
      <c r="H196" s="51"/>
      <c r="I196" s="68"/>
      <c r="J196" s="70"/>
      <c r="K196" s="71"/>
      <c r="L196" s="76" t="str">
        <f t="shared" si="7"/>
        <v/>
      </c>
    </row>
    <row r="197" spans="1:12" x14ac:dyDescent="0.25">
      <c r="A197" s="67" t="str">
        <f>IF($B197="","",COUNT($B$7:$B197))</f>
        <v/>
      </c>
      <c r="B197" s="74"/>
      <c r="C197" s="50" t="str">
        <f>IF($B197="","",IFERROR(MATCH($B197,Quincenas!$E$7:$E$30,1),""))</f>
        <v/>
      </c>
      <c r="D197" s="50" t="str">
        <f t="shared" si="6"/>
        <v/>
      </c>
      <c r="E197" s="68"/>
      <c r="F197" s="68"/>
      <c r="G197" s="68"/>
      <c r="H197" s="51"/>
      <c r="I197" s="68"/>
      <c r="J197" s="70"/>
      <c r="K197" s="71"/>
      <c r="L197" s="75" t="str">
        <f t="shared" si="7"/>
        <v/>
      </c>
    </row>
    <row r="198" spans="1:12" x14ac:dyDescent="0.25">
      <c r="A198" s="72" t="str">
        <f>IF($B198="","",COUNT($B$7:$B198))</f>
        <v/>
      </c>
      <c r="B198" s="74"/>
      <c r="C198" s="56" t="str">
        <f>IF($B198="","",IFERROR(MATCH($B198,Quincenas!$E$7:$E$30,1),""))</f>
        <v/>
      </c>
      <c r="D198" s="56" t="str">
        <f t="shared" si="6"/>
        <v/>
      </c>
      <c r="E198" s="68"/>
      <c r="F198" s="68"/>
      <c r="G198" s="68"/>
      <c r="H198" s="51"/>
      <c r="I198" s="68"/>
      <c r="J198" s="70"/>
      <c r="K198" s="71"/>
      <c r="L198" s="76" t="str">
        <f t="shared" si="7"/>
        <v/>
      </c>
    </row>
    <row r="199" spans="1:12" x14ac:dyDescent="0.25">
      <c r="A199" s="67" t="str">
        <f>IF($B199="","",COUNT($B$7:$B199))</f>
        <v/>
      </c>
      <c r="B199" s="74"/>
      <c r="C199" s="50" t="str">
        <f>IF($B199="","",IFERROR(MATCH($B199,Quincenas!$E$7:$E$30,1),""))</f>
        <v/>
      </c>
      <c r="D199" s="50" t="str">
        <f t="shared" si="6"/>
        <v/>
      </c>
      <c r="E199" s="68"/>
      <c r="F199" s="68"/>
      <c r="G199" s="68"/>
      <c r="H199" s="51"/>
      <c r="I199" s="68"/>
      <c r="J199" s="70"/>
      <c r="K199" s="71"/>
      <c r="L199" s="75" t="str">
        <f t="shared" si="7"/>
        <v/>
      </c>
    </row>
    <row r="200" spans="1:12" x14ac:dyDescent="0.25">
      <c r="A200" s="72" t="str">
        <f>IF($B200="","",COUNT($B$7:$B200))</f>
        <v/>
      </c>
      <c r="B200" s="74"/>
      <c r="C200" s="56" t="str">
        <f>IF($B200="","",IFERROR(MATCH($B200,Quincenas!$E$7:$E$30,1),""))</f>
        <v/>
      </c>
      <c r="D200" s="56" t="str">
        <f t="shared" si="6"/>
        <v/>
      </c>
      <c r="E200" s="68"/>
      <c r="F200" s="68"/>
      <c r="G200" s="68"/>
      <c r="H200" s="51"/>
      <c r="I200" s="68"/>
      <c r="J200" s="70"/>
      <c r="K200" s="71"/>
      <c r="L200" s="76" t="str">
        <f t="shared" si="7"/>
        <v/>
      </c>
    </row>
    <row r="201" spans="1:12" x14ac:dyDescent="0.25">
      <c r="A201" s="67" t="str">
        <f>IF($B201="","",COUNT($B$7:$B201))</f>
        <v/>
      </c>
      <c r="B201" s="74"/>
      <c r="C201" s="50" t="str">
        <f>IF($B201="","",IFERROR(MATCH($B201,Quincenas!$E$7:$E$30,1),""))</f>
        <v/>
      </c>
      <c r="D201" s="50" t="str">
        <f t="shared" si="6"/>
        <v/>
      </c>
      <c r="E201" s="68"/>
      <c r="F201" s="68"/>
      <c r="G201" s="68"/>
      <c r="H201" s="51"/>
      <c r="I201" s="68"/>
      <c r="J201" s="70"/>
      <c r="K201" s="71"/>
      <c r="L201" s="75" t="str">
        <f t="shared" si="7"/>
        <v/>
      </c>
    </row>
    <row r="202" spans="1:12" x14ac:dyDescent="0.25">
      <c r="A202" s="72" t="str">
        <f>IF($B202="","",COUNT($B$7:$B202))</f>
        <v/>
      </c>
      <c r="B202" s="74"/>
      <c r="C202" s="56" t="str">
        <f>IF($B202="","",IFERROR(MATCH($B202,Quincenas!$E$7:$E$30,1),""))</f>
        <v/>
      </c>
      <c r="D202" s="56" t="str">
        <f t="shared" si="6"/>
        <v/>
      </c>
      <c r="E202" s="68"/>
      <c r="F202" s="68"/>
      <c r="G202" s="68"/>
      <c r="H202" s="51"/>
      <c r="I202" s="68"/>
      <c r="J202" s="70"/>
      <c r="K202" s="71"/>
      <c r="L202" s="76" t="str">
        <f t="shared" si="7"/>
        <v/>
      </c>
    </row>
    <row r="203" spans="1:12" x14ac:dyDescent="0.25">
      <c r="A203" s="67" t="str">
        <f>IF($B203="","",COUNT($B$7:$B203))</f>
        <v/>
      </c>
      <c r="B203" s="74"/>
      <c r="C203" s="50" t="str">
        <f>IF($B203="","",IFERROR(MATCH($B203,Quincenas!$E$7:$E$30,1),""))</f>
        <v/>
      </c>
      <c r="D203" s="50" t="str">
        <f t="shared" si="6"/>
        <v/>
      </c>
      <c r="E203" s="68"/>
      <c r="F203" s="68"/>
      <c r="G203" s="68"/>
      <c r="H203" s="51"/>
      <c r="I203" s="68"/>
      <c r="J203" s="70"/>
      <c r="K203" s="71"/>
      <c r="L203" s="75" t="str">
        <f t="shared" si="7"/>
        <v/>
      </c>
    </row>
    <row r="204" spans="1:12" x14ac:dyDescent="0.25">
      <c r="A204" s="72" t="str">
        <f>IF($B204="","",COUNT($B$7:$B204))</f>
        <v/>
      </c>
      <c r="B204" s="74"/>
      <c r="C204" s="56" t="str">
        <f>IF($B204="","",IFERROR(MATCH($B204,Quincenas!$E$7:$E$30,1),""))</f>
        <v/>
      </c>
      <c r="D204" s="56" t="str">
        <f t="shared" si="6"/>
        <v/>
      </c>
      <c r="E204" s="68"/>
      <c r="F204" s="68"/>
      <c r="G204" s="68"/>
      <c r="H204" s="51"/>
      <c r="I204" s="68"/>
      <c r="J204" s="70"/>
      <c r="K204" s="71"/>
      <c r="L204" s="76" t="str">
        <f t="shared" si="7"/>
        <v/>
      </c>
    </row>
    <row r="205" spans="1:12" x14ac:dyDescent="0.25">
      <c r="A205" s="67" t="str">
        <f>IF($B205="","",COUNT($B$7:$B205))</f>
        <v/>
      </c>
      <c r="B205" s="74"/>
      <c r="C205" s="50" t="str">
        <f>IF($B205="","",IFERROR(MATCH($B205,Quincenas!$E$7:$E$30,1),""))</f>
        <v/>
      </c>
      <c r="D205" s="50" t="str">
        <f t="shared" si="6"/>
        <v/>
      </c>
      <c r="E205" s="68"/>
      <c r="F205" s="68"/>
      <c r="G205" s="68"/>
      <c r="H205" s="51"/>
      <c r="I205" s="68"/>
      <c r="J205" s="70"/>
      <c r="K205" s="71"/>
      <c r="L205" s="75" t="str">
        <f t="shared" si="7"/>
        <v/>
      </c>
    </row>
    <row r="206" spans="1:12" x14ac:dyDescent="0.25">
      <c r="A206" s="72" t="str">
        <f>IF($B206="","",COUNT($B$7:$B206))</f>
        <v/>
      </c>
      <c r="B206" s="74"/>
      <c r="C206" s="56" t="str">
        <f>IF($B206="","",IFERROR(MATCH($B206,Quincenas!$E$7:$E$30,1),""))</f>
        <v/>
      </c>
      <c r="D206" s="56" t="str">
        <f t="shared" si="6"/>
        <v/>
      </c>
      <c r="E206" s="68"/>
      <c r="F206" s="68"/>
      <c r="G206" s="68"/>
      <c r="H206" s="51"/>
      <c r="I206" s="68"/>
      <c r="J206" s="70"/>
      <c r="K206" s="71"/>
      <c r="L206" s="76" t="str">
        <f t="shared" si="7"/>
        <v/>
      </c>
    </row>
    <row r="207" spans="1:12" x14ac:dyDescent="0.25">
      <c r="A207" s="67" t="str">
        <f>IF($B207="","",COUNT($B$7:$B207))</f>
        <v/>
      </c>
      <c r="B207" s="74"/>
      <c r="C207" s="50" t="str">
        <f>IF($B207="","",IFERROR(MATCH($B207,Quincenas!$E$7:$E$30,1),""))</f>
        <v/>
      </c>
      <c r="D207" s="50" t="str">
        <f t="shared" si="6"/>
        <v/>
      </c>
      <c r="E207" s="68"/>
      <c r="F207" s="68"/>
      <c r="G207" s="68"/>
      <c r="H207" s="51"/>
      <c r="I207" s="68"/>
      <c r="J207" s="70"/>
      <c r="K207" s="71"/>
      <c r="L207" s="75" t="str">
        <f t="shared" si="7"/>
        <v/>
      </c>
    </row>
    <row r="208" spans="1:12" x14ac:dyDescent="0.25">
      <c r="A208" s="72" t="str">
        <f>IF($B208="","",COUNT($B$7:$B208))</f>
        <v/>
      </c>
      <c r="B208" s="74"/>
      <c r="C208" s="56" t="str">
        <f>IF($B208="","",IFERROR(MATCH($B208,Quincenas!$E$7:$E$30,1),""))</f>
        <v/>
      </c>
      <c r="D208" s="56" t="str">
        <f t="shared" si="6"/>
        <v/>
      </c>
      <c r="E208" s="68"/>
      <c r="F208" s="68"/>
      <c r="G208" s="68"/>
      <c r="H208" s="51"/>
      <c r="I208" s="68"/>
      <c r="J208" s="70"/>
      <c r="K208" s="71"/>
      <c r="L208" s="76" t="str">
        <f t="shared" si="7"/>
        <v/>
      </c>
    </row>
    <row r="209" spans="1:12" x14ac:dyDescent="0.25">
      <c r="A209" s="67" t="str">
        <f>IF($B209="","",COUNT($B$7:$B209))</f>
        <v/>
      </c>
      <c r="B209" s="74"/>
      <c r="C209" s="50" t="str">
        <f>IF($B209="","",IFERROR(MATCH($B209,Quincenas!$E$7:$E$30,1),""))</f>
        <v/>
      </c>
      <c r="D209" s="50" t="str">
        <f t="shared" si="6"/>
        <v/>
      </c>
      <c r="E209" s="68"/>
      <c r="F209" s="68"/>
      <c r="G209" s="68"/>
      <c r="H209" s="51"/>
      <c r="I209" s="68"/>
      <c r="J209" s="70"/>
      <c r="K209" s="71"/>
      <c r="L209" s="75" t="str">
        <f t="shared" si="7"/>
        <v/>
      </c>
    </row>
    <row r="210" spans="1:12" x14ac:dyDescent="0.25">
      <c r="A210" s="72" t="str">
        <f>IF($B210="","",COUNT($B$7:$B210))</f>
        <v/>
      </c>
      <c r="B210" s="74"/>
      <c r="C210" s="56" t="str">
        <f>IF($B210="","",IFERROR(MATCH($B210,Quincenas!$E$7:$E$30,1),""))</f>
        <v/>
      </c>
      <c r="D210" s="56" t="str">
        <f t="shared" si="6"/>
        <v/>
      </c>
      <c r="E210" s="68"/>
      <c r="F210" s="68"/>
      <c r="G210" s="68"/>
      <c r="H210" s="51"/>
      <c r="I210" s="68"/>
      <c r="J210" s="70"/>
      <c r="K210" s="71"/>
      <c r="L210" s="76" t="str">
        <f t="shared" si="7"/>
        <v/>
      </c>
    </row>
    <row r="211" spans="1:12" x14ac:dyDescent="0.25">
      <c r="A211" s="67" t="str">
        <f>IF($B211="","",COUNT($B$7:$B211))</f>
        <v/>
      </c>
      <c r="B211" s="74"/>
      <c r="C211" s="50" t="str">
        <f>IF($B211="","",IFERROR(MATCH($B211,Quincenas!$E$7:$E$30,1),""))</f>
        <v/>
      </c>
      <c r="D211" s="50" t="str">
        <f t="shared" si="6"/>
        <v/>
      </c>
      <c r="E211" s="68"/>
      <c r="F211" s="68"/>
      <c r="G211" s="68"/>
      <c r="H211" s="51"/>
      <c r="I211" s="68"/>
      <c r="J211" s="70"/>
      <c r="K211" s="71"/>
      <c r="L211" s="75" t="str">
        <f t="shared" si="7"/>
        <v/>
      </c>
    </row>
    <row r="212" spans="1:12" x14ac:dyDescent="0.25">
      <c r="A212" s="72" t="str">
        <f>IF($B212="","",COUNT($B$7:$B212))</f>
        <v/>
      </c>
      <c r="B212" s="74"/>
      <c r="C212" s="56" t="str">
        <f>IF($B212="","",IFERROR(MATCH($B212,Quincenas!$E$7:$E$30,1),""))</f>
        <v/>
      </c>
      <c r="D212" s="56" t="str">
        <f t="shared" si="6"/>
        <v/>
      </c>
      <c r="E212" s="68"/>
      <c r="F212" s="68"/>
      <c r="G212" s="68"/>
      <c r="H212" s="51"/>
      <c r="I212" s="68"/>
      <c r="J212" s="70"/>
      <c r="K212" s="71"/>
      <c r="L212" s="76" t="str">
        <f t="shared" si="7"/>
        <v/>
      </c>
    </row>
    <row r="213" spans="1:12" x14ac:dyDescent="0.25">
      <c r="A213" s="67" t="str">
        <f>IF($B213="","",COUNT($B$7:$B213))</f>
        <v/>
      </c>
      <c r="B213" s="74"/>
      <c r="C213" s="50" t="str">
        <f>IF($B213="","",IFERROR(MATCH($B213,Quincenas!$E$7:$E$30,1),""))</f>
        <v/>
      </c>
      <c r="D213" s="50" t="str">
        <f t="shared" si="6"/>
        <v/>
      </c>
      <c r="E213" s="68"/>
      <c r="F213" s="68"/>
      <c r="G213" s="68"/>
      <c r="H213" s="51"/>
      <c r="I213" s="68"/>
      <c r="J213" s="70"/>
      <c r="K213" s="71"/>
      <c r="L213" s="75" t="str">
        <f t="shared" si="7"/>
        <v/>
      </c>
    </row>
    <row r="214" spans="1:12" x14ac:dyDescent="0.25">
      <c r="A214" s="72" t="str">
        <f>IF($B214="","",COUNT($B$7:$B214))</f>
        <v/>
      </c>
      <c r="B214" s="74"/>
      <c r="C214" s="56" t="str">
        <f>IF($B214="","",IFERROR(MATCH($B214,Quincenas!$E$7:$E$30,1),""))</f>
        <v/>
      </c>
      <c r="D214" s="56" t="str">
        <f t="shared" si="6"/>
        <v/>
      </c>
      <c r="E214" s="68"/>
      <c r="F214" s="68"/>
      <c r="G214" s="68"/>
      <c r="H214" s="51"/>
      <c r="I214" s="68"/>
      <c r="J214" s="70"/>
      <c r="K214" s="71"/>
      <c r="L214" s="76" t="str">
        <f t="shared" si="7"/>
        <v/>
      </c>
    </row>
    <row r="215" spans="1:12" x14ac:dyDescent="0.25">
      <c r="A215" s="67" t="str">
        <f>IF($B215="","",COUNT($B$7:$B215))</f>
        <v/>
      </c>
      <c r="B215" s="74"/>
      <c r="C215" s="50" t="str">
        <f>IF($B215="","",IFERROR(MATCH($B215,Quincenas!$E$7:$E$30,1),""))</f>
        <v/>
      </c>
      <c r="D215" s="50" t="str">
        <f t="shared" si="6"/>
        <v/>
      </c>
      <c r="E215" s="68"/>
      <c r="F215" s="68"/>
      <c r="G215" s="68"/>
      <c r="H215" s="51"/>
      <c r="I215" s="68"/>
      <c r="J215" s="70"/>
      <c r="K215" s="71"/>
      <c r="L215" s="75" t="str">
        <f t="shared" si="7"/>
        <v/>
      </c>
    </row>
    <row r="216" spans="1:12" x14ac:dyDescent="0.25">
      <c r="A216" s="72" t="str">
        <f>IF($B216="","",COUNT($B$7:$B216))</f>
        <v/>
      </c>
      <c r="B216" s="74"/>
      <c r="C216" s="56" t="str">
        <f>IF($B216="","",IFERROR(MATCH($B216,Quincenas!$E$7:$E$30,1),""))</f>
        <v/>
      </c>
      <c r="D216" s="56" t="str">
        <f t="shared" si="6"/>
        <v/>
      </c>
      <c r="E216" s="68"/>
      <c r="F216" s="68"/>
      <c r="G216" s="68"/>
      <c r="H216" s="51"/>
      <c r="I216" s="68"/>
      <c r="J216" s="70"/>
      <c r="K216" s="71"/>
      <c r="L216" s="76" t="str">
        <f t="shared" si="7"/>
        <v/>
      </c>
    </row>
    <row r="217" spans="1:12" x14ac:dyDescent="0.25">
      <c r="A217" s="67" t="str">
        <f>IF($B217="","",COUNT($B$7:$B217))</f>
        <v/>
      </c>
      <c r="B217" s="74"/>
      <c r="C217" s="50" t="str">
        <f>IF($B217="","",IFERROR(MATCH($B217,Quincenas!$E$7:$E$30,1),""))</f>
        <v/>
      </c>
      <c r="D217" s="50" t="str">
        <f t="shared" si="6"/>
        <v/>
      </c>
      <c r="E217" s="68"/>
      <c r="F217" s="68"/>
      <c r="G217" s="68"/>
      <c r="H217" s="51"/>
      <c r="I217" s="68"/>
      <c r="J217" s="70"/>
      <c r="K217" s="71"/>
      <c r="L217" s="75" t="str">
        <f t="shared" si="7"/>
        <v/>
      </c>
    </row>
    <row r="218" spans="1:12" x14ac:dyDescent="0.25">
      <c r="A218" s="72" t="str">
        <f>IF($B218="","",COUNT($B$7:$B218))</f>
        <v/>
      </c>
      <c r="B218" s="74"/>
      <c r="C218" s="56" t="str">
        <f>IF($B218="","",IFERROR(MATCH($B218,Quincenas!$E$7:$E$30,1),""))</f>
        <v/>
      </c>
      <c r="D218" s="56" t="str">
        <f t="shared" si="6"/>
        <v/>
      </c>
      <c r="E218" s="68"/>
      <c r="F218" s="68"/>
      <c r="G218" s="68"/>
      <c r="H218" s="51"/>
      <c r="I218" s="68"/>
      <c r="J218" s="70"/>
      <c r="K218" s="71"/>
      <c r="L218" s="76" t="str">
        <f t="shared" si="7"/>
        <v/>
      </c>
    </row>
    <row r="219" spans="1:12" x14ac:dyDescent="0.25">
      <c r="A219" s="67" t="str">
        <f>IF($B219="","",COUNT($B$7:$B219))</f>
        <v/>
      </c>
      <c r="B219" s="74"/>
      <c r="C219" s="50" t="str">
        <f>IF($B219="","",IFERROR(MATCH($B219,Quincenas!$E$7:$E$30,1),""))</f>
        <v/>
      </c>
      <c r="D219" s="50" t="str">
        <f t="shared" si="6"/>
        <v/>
      </c>
      <c r="E219" s="68"/>
      <c r="F219" s="68"/>
      <c r="G219" s="68"/>
      <c r="H219" s="51"/>
      <c r="I219" s="68"/>
      <c r="J219" s="70"/>
      <c r="K219" s="71"/>
      <c r="L219" s="75" t="str">
        <f t="shared" si="7"/>
        <v/>
      </c>
    </row>
    <row r="220" spans="1:12" x14ac:dyDescent="0.25">
      <c r="A220" s="72" t="str">
        <f>IF($B220="","",COUNT($B$7:$B220))</f>
        <v/>
      </c>
      <c r="B220" s="74"/>
      <c r="C220" s="56" t="str">
        <f>IF($B220="","",IFERROR(MATCH($B220,Quincenas!$E$7:$E$30,1),""))</f>
        <v/>
      </c>
      <c r="D220" s="56" t="str">
        <f t="shared" si="6"/>
        <v/>
      </c>
      <c r="E220" s="68"/>
      <c r="F220" s="68"/>
      <c r="G220" s="68"/>
      <c r="H220" s="51"/>
      <c r="I220" s="68"/>
      <c r="J220" s="70"/>
      <c r="K220" s="71"/>
      <c r="L220" s="76" t="str">
        <f t="shared" si="7"/>
        <v/>
      </c>
    </row>
    <row r="221" spans="1:12" x14ac:dyDescent="0.25">
      <c r="A221" s="67" t="str">
        <f>IF($B221="","",COUNT($B$7:$B221))</f>
        <v/>
      </c>
      <c r="B221" s="74"/>
      <c r="C221" s="50" t="str">
        <f>IF($B221="","",IFERROR(MATCH($B221,Quincenas!$E$7:$E$30,1),""))</f>
        <v/>
      </c>
      <c r="D221" s="50" t="str">
        <f t="shared" si="6"/>
        <v/>
      </c>
      <c r="E221" s="68"/>
      <c r="F221" s="68"/>
      <c r="G221" s="68"/>
      <c r="H221" s="51"/>
      <c r="I221" s="68"/>
      <c r="J221" s="70"/>
      <c r="K221" s="71"/>
      <c r="L221" s="75" t="str">
        <f t="shared" si="7"/>
        <v/>
      </c>
    </row>
    <row r="222" spans="1:12" x14ac:dyDescent="0.25">
      <c r="A222" s="72" t="str">
        <f>IF($B222="","",COUNT($B$7:$B222))</f>
        <v/>
      </c>
      <c r="B222" s="74"/>
      <c r="C222" s="56" t="str">
        <f>IF($B222="","",IFERROR(MATCH($B222,Quincenas!$E$7:$E$30,1),""))</f>
        <v/>
      </c>
      <c r="D222" s="56" t="str">
        <f t="shared" si="6"/>
        <v/>
      </c>
      <c r="E222" s="68"/>
      <c r="F222" s="68"/>
      <c r="G222" s="68"/>
      <c r="H222" s="51"/>
      <c r="I222" s="68"/>
      <c r="J222" s="70"/>
      <c r="K222" s="71"/>
      <c r="L222" s="76" t="str">
        <f t="shared" si="7"/>
        <v/>
      </c>
    </row>
    <row r="223" spans="1:12" x14ac:dyDescent="0.25">
      <c r="A223" s="67" t="str">
        <f>IF($B223="","",COUNT($B$7:$B223))</f>
        <v/>
      </c>
      <c r="B223" s="74"/>
      <c r="C223" s="50" t="str">
        <f>IF($B223="","",IFERROR(MATCH($B223,Quincenas!$E$7:$E$30,1),""))</f>
        <v/>
      </c>
      <c r="D223" s="50" t="str">
        <f t="shared" si="6"/>
        <v/>
      </c>
      <c r="E223" s="68"/>
      <c r="F223" s="68"/>
      <c r="G223" s="68"/>
      <c r="H223" s="51"/>
      <c r="I223" s="68"/>
      <c r="J223" s="70"/>
      <c r="K223" s="71"/>
      <c r="L223" s="75" t="str">
        <f t="shared" si="7"/>
        <v/>
      </c>
    </row>
    <row r="224" spans="1:12" x14ac:dyDescent="0.25">
      <c r="A224" s="72" t="str">
        <f>IF($B224="","",COUNT($B$7:$B224))</f>
        <v/>
      </c>
      <c r="B224" s="74"/>
      <c r="C224" s="56" t="str">
        <f>IF($B224="","",IFERROR(MATCH($B224,Quincenas!$E$7:$E$30,1),""))</f>
        <v/>
      </c>
      <c r="D224" s="56" t="str">
        <f t="shared" si="6"/>
        <v/>
      </c>
      <c r="E224" s="68"/>
      <c r="F224" s="68"/>
      <c r="G224" s="68"/>
      <c r="H224" s="51"/>
      <c r="I224" s="68"/>
      <c r="J224" s="70"/>
      <c r="K224" s="71"/>
      <c r="L224" s="76" t="str">
        <f t="shared" si="7"/>
        <v/>
      </c>
    </row>
    <row r="225" spans="1:12" x14ac:dyDescent="0.25">
      <c r="A225" s="67" t="str">
        <f>IF($B225="","",COUNT($B$7:$B225))</f>
        <v/>
      </c>
      <c r="B225" s="74"/>
      <c r="C225" s="50" t="str">
        <f>IF($B225="","",IFERROR(MATCH($B225,Quincenas!$E$7:$E$30,1),""))</f>
        <v/>
      </c>
      <c r="D225" s="50" t="str">
        <f t="shared" si="6"/>
        <v/>
      </c>
      <c r="E225" s="68"/>
      <c r="F225" s="68"/>
      <c r="G225" s="68"/>
      <c r="H225" s="51"/>
      <c r="I225" s="68"/>
      <c r="J225" s="70"/>
      <c r="K225" s="71"/>
      <c r="L225" s="75" t="str">
        <f t="shared" si="7"/>
        <v/>
      </c>
    </row>
    <row r="226" spans="1:12" x14ac:dyDescent="0.25">
      <c r="A226" s="72" t="str">
        <f>IF($B226="","",COUNT($B$7:$B226))</f>
        <v/>
      </c>
      <c r="B226" s="74"/>
      <c r="C226" s="56" t="str">
        <f>IF($B226="","",IFERROR(MATCH($B226,Quincenas!$E$7:$E$30,1),""))</f>
        <v/>
      </c>
      <c r="D226" s="56" t="str">
        <f t="shared" si="6"/>
        <v/>
      </c>
      <c r="E226" s="68"/>
      <c r="F226" s="68"/>
      <c r="G226" s="68"/>
      <c r="H226" s="51"/>
      <c r="I226" s="68"/>
      <c r="J226" s="70"/>
      <c r="K226" s="71"/>
      <c r="L226" s="76" t="str">
        <f t="shared" si="7"/>
        <v/>
      </c>
    </row>
    <row r="227" spans="1:12" x14ac:dyDescent="0.25">
      <c r="A227" s="67" t="str">
        <f>IF($B227="","",COUNT($B$7:$B227))</f>
        <v/>
      </c>
      <c r="B227" s="74"/>
      <c r="C227" s="50" t="str">
        <f>IF($B227="","",IFERROR(MATCH($B227,Quincenas!$E$7:$E$30,1),""))</f>
        <v/>
      </c>
      <c r="D227" s="50" t="str">
        <f t="shared" si="6"/>
        <v/>
      </c>
      <c r="E227" s="68"/>
      <c r="F227" s="68"/>
      <c r="G227" s="68"/>
      <c r="H227" s="51"/>
      <c r="I227" s="68"/>
      <c r="J227" s="70"/>
      <c r="K227" s="71"/>
      <c r="L227" s="75" t="str">
        <f t="shared" si="7"/>
        <v/>
      </c>
    </row>
    <row r="228" spans="1:12" x14ac:dyDescent="0.25">
      <c r="A228" s="72" t="str">
        <f>IF($B228="","",COUNT($B$7:$B228))</f>
        <v/>
      </c>
      <c r="B228" s="74"/>
      <c r="C228" s="56" t="str">
        <f>IF($B228="","",IFERROR(MATCH($B228,Quincenas!$E$7:$E$30,1),""))</f>
        <v/>
      </c>
      <c r="D228" s="56" t="str">
        <f t="shared" si="6"/>
        <v/>
      </c>
      <c r="E228" s="68"/>
      <c r="F228" s="68"/>
      <c r="G228" s="68"/>
      <c r="H228" s="51"/>
      <c r="I228" s="68"/>
      <c r="J228" s="70"/>
      <c r="K228" s="71"/>
      <c r="L228" s="76" t="str">
        <f t="shared" si="7"/>
        <v/>
      </c>
    </row>
    <row r="229" spans="1:12" x14ac:dyDescent="0.25">
      <c r="A229" s="67" t="str">
        <f>IF($B229="","",COUNT($B$7:$B229))</f>
        <v/>
      </c>
      <c r="B229" s="74"/>
      <c r="C229" s="50" t="str">
        <f>IF($B229="","",IFERROR(MATCH($B229,Quincenas!$E$7:$E$30,1),""))</f>
        <v/>
      </c>
      <c r="D229" s="50" t="str">
        <f t="shared" si="6"/>
        <v/>
      </c>
      <c r="E229" s="68"/>
      <c r="F229" s="68"/>
      <c r="G229" s="68"/>
      <c r="H229" s="51"/>
      <c r="I229" s="68"/>
      <c r="J229" s="70"/>
      <c r="K229" s="71"/>
      <c r="L229" s="75" t="str">
        <f t="shared" si="7"/>
        <v/>
      </c>
    </row>
    <row r="230" spans="1:12" x14ac:dyDescent="0.25">
      <c r="A230" s="72" t="str">
        <f>IF($B230="","",COUNT($B$7:$B230))</f>
        <v/>
      </c>
      <c r="B230" s="74"/>
      <c r="C230" s="56" t="str">
        <f>IF($B230="","",IFERROR(MATCH($B230,Quincenas!$E$7:$E$30,1),""))</f>
        <v/>
      </c>
      <c r="D230" s="56" t="str">
        <f t="shared" si="6"/>
        <v/>
      </c>
      <c r="E230" s="68"/>
      <c r="F230" s="68"/>
      <c r="G230" s="68"/>
      <c r="H230" s="51"/>
      <c r="I230" s="68"/>
      <c r="J230" s="70"/>
      <c r="K230" s="71"/>
      <c r="L230" s="76" t="str">
        <f t="shared" si="7"/>
        <v/>
      </c>
    </row>
    <row r="231" spans="1:12" x14ac:dyDescent="0.25">
      <c r="A231" s="67" t="str">
        <f>IF($B231="","",COUNT($B$7:$B231))</f>
        <v/>
      </c>
      <c r="B231" s="74"/>
      <c r="C231" s="50" t="str">
        <f>IF($B231="","",IFERROR(MATCH($B231,Quincenas!$E$7:$E$30,1),""))</f>
        <v/>
      </c>
      <c r="D231" s="50" t="str">
        <f t="shared" si="6"/>
        <v/>
      </c>
      <c r="E231" s="68"/>
      <c r="F231" s="68"/>
      <c r="G231" s="68"/>
      <c r="H231" s="51"/>
      <c r="I231" s="68"/>
      <c r="J231" s="70"/>
      <c r="K231" s="71"/>
      <c r="L231" s="75" t="str">
        <f t="shared" si="7"/>
        <v/>
      </c>
    </row>
    <row r="232" spans="1:12" x14ac:dyDescent="0.25">
      <c r="A232" s="72" t="str">
        <f>IF($B232="","",COUNT($B$7:$B232))</f>
        <v/>
      </c>
      <c r="B232" s="74"/>
      <c r="C232" s="56" t="str">
        <f>IF($B232="","",IFERROR(MATCH($B232,Quincenas!$E$7:$E$30,1),""))</f>
        <v/>
      </c>
      <c r="D232" s="56" t="str">
        <f t="shared" si="6"/>
        <v/>
      </c>
      <c r="E232" s="68"/>
      <c r="F232" s="68"/>
      <c r="G232" s="68"/>
      <c r="H232" s="51"/>
      <c r="I232" s="68"/>
      <c r="J232" s="70"/>
      <c r="K232" s="71"/>
      <c r="L232" s="76" t="str">
        <f t="shared" si="7"/>
        <v/>
      </c>
    </row>
    <row r="233" spans="1:12" x14ac:dyDescent="0.25">
      <c r="A233" s="67" t="str">
        <f>IF($B233="","",COUNT($B$7:$B233))</f>
        <v/>
      </c>
      <c r="B233" s="74"/>
      <c r="C233" s="50" t="str">
        <f>IF($B233="","",IFERROR(MATCH($B233,Quincenas!$E$7:$E$30,1),""))</f>
        <v/>
      </c>
      <c r="D233" s="50" t="str">
        <f t="shared" si="6"/>
        <v/>
      </c>
      <c r="E233" s="68"/>
      <c r="F233" s="68"/>
      <c r="G233" s="68"/>
      <c r="H233" s="51"/>
      <c r="I233" s="68"/>
      <c r="J233" s="70"/>
      <c r="K233" s="71"/>
      <c r="L233" s="75" t="str">
        <f t="shared" si="7"/>
        <v/>
      </c>
    </row>
    <row r="234" spans="1:12" x14ac:dyDescent="0.25">
      <c r="A234" s="72" t="str">
        <f>IF($B234="","",COUNT($B$7:$B234))</f>
        <v/>
      </c>
      <c r="B234" s="74"/>
      <c r="C234" s="56" t="str">
        <f>IF($B234="","",IFERROR(MATCH($B234,Quincenas!$E$7:$E$30,1),""))</f>
        <v/>
      </c>
      <c r="D234" s="56" t="str">
        <f t="shared" si="6"/>
        <v/>
      </c>
      <c r="E234" s="68"/>
      <c r="F234" s="68"/>
      <c r="G234" s="68"/>
      <c r="H234" s="51"/>
      <c r="I234" s="68"/>
      <c r="J234" s="70"/>
      <c r="K234" s="71"/>
      <c r="L234" s="76" t="str">
        <f t="shared" si="7"/>
        <v/>
      </c>
    </row>
    <row r="235" spans="1:12" x14ac:dyDescent="0.25">
      <c r="A235" s="67" t="str">
        <f>IF($B235="","",COUNT($B$7:$B235))</f>
        <v/>
      </c>
      <c r="B235" s="74"/>
      <c r="C235" s="50" t="str">
        <f>IF($B235="","",IFERROR(MATCH($B235,Quincenas!$E$7:$E$30,1),""))</f>
        <v/>
      </c>
      <c r="D235" s="50" t="str">
        <f t="shared" si="6"/>
        <v/>
      </c>
      <c r="E235" s="68"/>
      <c r="F235" s="68"/>
      <c r="G235" s="68"/>
      <c r="H235" s="51"/>
      <c r="I235" s="68"/>
      <c r="J235" s="70"/>
      <c r="K235" s="71"/>
      <c r="L235" s="75" t="str">
        <f t="shared" si="7"/>
        <v/>
      </c>
    </row>
    <row r="236" spans="1:12" x14ac:dyDescent="0.25">
      <c r="A236" s="72" t="str">
        <f>IF($B236="","",COUNT($B$7:$B236))</f>
        <v/>
      </c>
      <c r="B236" s="74"/>
      <c r="C236" s="56" t="str">
        <f>IF($B236="","",IFERROR(MATCH($B236,Quincenas!$E$7:$E$30,1),""))</f>
        <v/>
      </c>
      <c r="D236" s="56" t="str">
        <f t="shared" si="6"/>
        <v/>
      </c>
      <c r="E236" s="68"/>
      <c r="F236" s="68"/>
      <c r="G236" s="68"/>
      <c r="H236" s="51"/>
      <c r="I236" s="68"/>
      <c r="J236" s="70"/>
      <c r="K236" s="71"/>
      <c r="L236" s="76" t="str">
        <f t="shared" si="7"/>
        <v/>
      </c>
    </row>
    <row r="237" spans="1:12" x14ac:dyDescent="0.25">
      <c r="A237" s="67" t="str">
        <f>IF($B237="","",COUNT($B$7:$B237))</f>
        <v/>
      </c>
      <c r="B237" s="74"/>
      <c r="C237" s="50" t="str">
        <f>IF($B237="","",IFERROR(MATCH($B237,Quincenas!$E$7:$E$30,1),""))</f>
        <v/>
      </c>
      <c r="D237" s="50" t="str">
        <f t="shared" si="6"/>
        <v/>
      </c>
      <c r="E237" s="68"/>
      <c r="F237" s="68"/>
      <c r="G237" s="68"/>
      <c r="H237" s="51"/>
      <c r="I237" s="68"/>
      <c r="J237" s="70"/>
      <c r="K237" s="71"/>
      <c r="L237" s="75" t="str">
        <f t="shared" si="7"/>
        <v/>
      </c>
    </row>
    <row r="238" spans="1:12" x14ac:dyDescent="0.25">
      <c r="A238" s="72" t="str">
        <f>IF($B238="","",COUNT($B$7:$B238))</f>
        <v/>
      </c>
      <c r="B238" s="74"/>
      <c r="C238" s="56" t="str">
        <f>IF($B238="","",IFERROR(MATCH($B238,Quincenas!$E$7:$E$30,1),""))</f>
        <v/>
      </c>
      <c r="D238" s="56" t="str">
        <f t="shared" si="6"/>
        <v/>
      </c>
      <c r="E238" s="68"/>
      <c r="F238" s="68"/>
      <c r="G238" s="68"/>
      <c r="H238" s="51"/>
      <c r="I238" s="68"/>
      <c r="J238" s="70"/>
      <c r="K238" s="71"/>
      <c r="L238" s="76" t="str">
        <f t="shared" si="7"/>
        <v/>
      </c>
    </row>
    <row r="239" spans="1:12" x14ac:dyDescent="0.25">
      <c r="A239" s="67" t="str">
        <f>IF($B239="","",COUNT($B$7:$B239))</f>
        <v/>
      </c>
      <c r="B239" s="74"/>
      <c r="C239" s="50" t="str">
        <f>IF($B239="","",IFERROR(MATCH($B239,Quincenas!$E$7:$E$30,1),""))</f>
        <v/>
      </c>
      <c r="D239" s="50" t="str">
        <f t="shared" si="6"/>
        <v/>
      </c>
      <c r="E239" s="68"/>
      <c r="F239" s="68"/>
      <c r="G239" s="68"/>
      <c r="H239" s="51"/>
      <c r="I239" s="68"/>
      <c r="J239" s="70"/>
      <c r="K239" s="71"/>
      <c r="L239" s="75" t="str">
        <f t="shared" si="7"/>
        <v/>
      </c>
    </row>
    <row r="240" spans="1:12" x14ac:dyDescent="0.25">
      <c r="A240" s="72" t="str">
        <f>IF($B240="","",COUNT($B$7:$B240))</f>
        <v/>
      </c>
      <c r="B240" s="74"/>
      <c r="C240" s="56" t="str">
        <f>IF($B240="","",IFERROR(MATCH($B240,Quincenas!$E$7:$E$30,1),""))</f>
        <v/>
      </c>
      <c r="D240" s="56" t="str">
        <f t="shared" si="6"/>
        <v/>
      </c>
      <c r="E240" s="68"/>
      <c r="F240" s="68"/>
      <c r="G240" s="68"/>
      <c r="H240" s="51"/>
      <c r="I240" s="68"/>
      <c r="J240" s="70"/>
      <c r="K240" s="71"/>
      <c r="L240" s="76" t="str">
        <f t="shared" si="7"/>
        <v/>
      </c>
    </row>
    <row r="241" spans="1:12" x14ac:dyDescent="0.25">
      <c r="A241" s="67" t="str">
        <f>IF($B241="","",COUNT($B$7:$B241))</f>
        <v/>
      </c>
      <c r="B241" s="74"/>
      <c r="C241" s="50" t="str">
        <f>IF($B241="","",IFERROR(MATCH($B241,Quincenas!$E$7:$E$30,1),""))</f>
        <v/>
      </c>
      <c r="D241" s="50" t="str">
        <f t="shared" si="6"/>
        <v/>
      </c>
      <c r="E241" s="68"/>
      <c r="F241" s="68"/>
      <c r="G241" s="68"/>
      <c r="H241" s="51"/>
      <c r="I241" s="68"/>
      <c r="J241" s="70"/>
      <c r="K241" s="71"/>
      <c r="L241" s="75" t="str">
        <f t="shared" si="7"/>
        <v/>
      </c>
    </row>
    <row r="242" spans="1:12" x14ac:dyDescent="0.25">
      <c r="A242" s="72" t="str">
        <f>IF($B242="","",COUNT($B$7:$B242))</f>
        <v/>
      </c>
      <c r="B242" s="74"/>
      <c r="C242" s="56" t="str">
        <f>IF($B242="","",IFERROR(MATCH($B242,Quincenas!$E$7:$E$30,1),""))</f>
        <v/>
      </c>
      <c r="D242" s="56" t="str">
        <f t="shared" si="6"/>
        <v/>
      </c>
      <c r="E242" s="68"/>
      <c r="F242" s="68"/>
      <c r="G242" s="68"/>
      <c r="H242" s="51"/>
      <c r="I242" s="68"/>
      <c r="J242" s="70"/>
      <c r="K242" s="71"/>
      <c r="L242" s="76" t="str">
        <f t="shared" si="7"/>
        <v/>
      </c>
    </row>
    <row r="243" spans="1:12" x14ac:dyDescent="0.25">
      <c r="A243" s="67" t="str">
        <f>IF($B243="","",COUNT($B$7:$B243))</f>
        <v/>
      </c>
      <c r="B243" s="74"/>
      <c r="C243" s="50" t="str">
        <f>IF($B243="","",IFERROR(MATCH($B243,Quincenas!$E$7:$E$30,1),""))</f>
        <v/>
      </c>
      <c r="D243" s="50" t="str">
        <f t="shared" si="6"/>
        <v/>
      </c>
      <c r="E243" s="68"/>
      <c r="F243" s="68"/>
      <c r="G243" s="68"/>
      <c r="H243" s="51"/>
      <c r="I243" s="68"/>
      <c r="J243" s="70"/>
      <c r="K243" s="71"/>
      <c r="L243" s="75" t="str">
        <f t="shared" si="7"/>
        <v/>
      </c>
    </row>
    <row r="244" spans="1:12" x14ac:dyDescent="0.25">
      <c r="A244" s="72" t="str">
        <f>IF($B244="","",COUNT($B$7:$B244))</f>
        <v/>
      </c>
      <c r="B244" s="74"/>
      <c r="C244" s="56" t="str">
        <f>IF($B244="","",IFERROR(MATCH($B244,Quincenas!$E$7:$E$30,1),""))</f>
        <v/>
      </c>
      <c r="D244" s="56" t="str">
        <f t="shared" si="6"/>
        <v/>
      </c>
      <c r="E244" s="68"/>
      <c r="F244" s="68"/>
      <c r="G244" s="68"/>
      <c r="H244" s="51"/>
      <c r="I244" s="68"/>
      <c r="J244" s="70"/>
      <c r="K244" s="71"/>
      <c r="L244" s="76" t="str">
        <f t="shared" si="7"/>
        <v/>
      </c>
    </row>
    <row r="245" spans="1:12" x14ac:dyDescent="0.25">
      <c r="A245" s="67" t="str">
        <f>IF($B245="","",COUNT($B$7:$B245))</f>
        <v/>
      </c>
      <c r="B245" s="74"/>
      <c r="C245" s="50" t="str">
        <f>IF($B245="","",IFERROR(MATCH($B245,Quincenas!$E$7:$E$30,1),""))</f>
        <v/>
      </c>
      <c r="D245" s="50" t="str">
        <f t="shared" si="6"/>
        <v/>
      </c>
      <c r="E245" s="68"/>
      <c r="F245" s="68"/>
      <c r="G245" s="68"/>
      <c r="H245" s="51"/>
      <c r="I245" s="68"/>
      <c r="J245" s="70"/>
      <c r="K245" s="71"/>
      <c r="L245" s="75" t="str">
        <f t="shared" si="7"/>
        <v/>
      </c>
    </row>
    <row r="246" spans="1:12" x14ac:dyDescent="0.25">
      <c r="A246" s="72" t="str">
        <f>IF($B246="","",COUNT($B$7:$B246))</f>
        <v/>
      </c>
      <c r="B246" s="74"/>
      <c r="C246" s="56" t="str">
        <f>IF($B246="","",IFERROR(MATCH($B246,Quincenas!$E$7:$E$30,1),""))</f>
        <v/>
      </c>
      <c r="D246" s="56" t="str">
        <f t="shared" si="6"/>
        <v/>
      </c>
      <c r="E246" s="68"/>
      <c r="F246" s="68"/>
      <c r="G246" s="68"/>
      <c r="H246" s="51"/>
      <c r="I246" s="68"/>
      <c r="J246" s="70"/>
      <c r="K246" s="71"/>
      <c r="L246" s="76" t="str">
        <f t="shared" si="7"/>
        <v/>
      </c>
    </row>
    <row r="247" spans="1:12" x14ac:dyDescent="0.25">
      <c r="A247" s="67" t="str">
        <f>IF($B247="","",COUNT($B$7:$B247))</f>
        <v/>
      </c>
      <c r="B247" s="74"/>
      <c r="C247" s="50" t="str">
        <f>IF($B247="","",IFERROR(MATCH($B247,Quincenas!$E$7:$E$30,1),""))</f>
        <v/>
      </c>
      <c r="D247" s="50" t="str">
        <f t="shared" si="6"/>
        <v/>
      </c>
      <c r="E247" s="68"/>
      <c r="F247" s="68"/>
      <c r="G247" s="68"/>
      <c r="H247" s="51"/>
      <c r="I247" s="68"/>
      <c r="J247" s="70"/>
      <c r="K247" s="71"/>
      <c r="L247" s="75" t="str">
        <f t="shared" si="7"/>
        <v/>
      </c>
    </row>
    <row r="248" spans="1:12" x14ac:dyDescent="0.25">
      <c r="A248" s="72" t="str">
        <f>IF($B248="","",COUNT($B$7:$B248))</f>
        <v/>
      </c>
      <c r="B248" s="74"/>
      <c r="C248" s="56" t="str">
        <f>IF($B248="","",IFERROR(MATCH($B248,Quincenas!$E$7:$E$30,1),""))</f>
        <v/>
      </c>
      <c r="D248" s="56" t="str">
        <f t="shared" si="6"/>
        <v/>
      </c>
      <c r="E248" s="68"/>
      <c r="F248" s="68"/>
      <c r="G248" s="68"/>
      <c r="H248" s="51"/>
      <c r="I248" s="68"/>
      <c r="J248" s="70"/>
      <c r="K248" s="71"/>
      <c r="L248" s="76" t="str">
        <f t="shared" si="7"/>
        <v/>
      </c>
    </row>
    <row r="249" spans="1:12" x14ac:dyDescent="0.25">
      <c r="A249" s="67" t="str">
        <f>IF($B249="","",COUNT($B$7:$B249))</f>
        <v/>
      </c>
      <c r="B249" s="74"/>
      <c r="C249" s="50" t="str">
        <f>IF($B249="","",IFERROR(MATCH($B249,Quincenas!$E$7:$E$30,1),""))</f>
        <v/>
      </c>
      <c r="D249" s="50" t="str">
        <f t="shared" si="6"/>
        <v/>
      </c>
      <c r="E249" s="68"/>
      <c r="F249" s="68"/>
      <c r="G249" s="68"/>
      <c r="H249" s="51"/>
      <c r="I249" s="68"/>
      <c r="J249" s="70"/>
      <c r="K249" s="71"/>
      <c r="L249" s="75" t="str">
        <f t="shared" si="7"/>
        <v/>
      </c>
    </row>
    <row r="250" spans="1:12" x14ac:dyDescent="0.25">
      <c r="A250" s="72" t="str">
        <f>IF($B250="","",COUNT($B$7:$B250))</f>
        <v/>
      </c>
      <c r="B250" s="74"/>
      <c r="C250" s="56" t="str">
        <f>IF($B250="","",IFERROR(MATCH($B250,Quincenas!$E$7:$E$30,1),""))</f>
        <v/>
      </c>
      <c r="D250" s="56" t="str">
        <f t="shared" si="6"/>
        <v/>
      </c>
      <c r="E250" s="68"/>
      <c r="F250" s="68"/>
      <c r="G250" s="68"/>
      <c r="H250" s="51"/>
      <c r="I250" s="68"/>
      <c r="J250" s="70"/>
      <c r="K250" s="71"/>
      <c r="L250" s="76" t="str">
        <f t="shared" si="7"/>
        <v/>
      </c>
    </row>
    <row r="251" spans="1:12" x14ac:dyDescent="0.25">
      <c r="A251" s="67" t="str">
        <f>IF($B251="","",COUNT($B$7:$B251))</f>
        <v/>
      </c>
      <c r="B251" s="74"/>
      <c r="C251" s="50" t="str">
        <f>IF($B251="","",IFERROR(MATCH($B251,Quincenas!$E$7:$E$30,1),""))</f>
        <v/>
      </c>
      <c r="D251" s="50" t="str">
        <f t="shared" si="6"/>
        <v/>
      </c>
      <c r="E251" s="68"/>
      <c r="F251" s="68"/>
      <c r="G251" s="68"/>
      <c r="H251" s="51"/>
      <c r="I251" s="68"/>
      <c r="J251" s="70"/>
      <c r="K251" s="71"/>
      <c r="L251" s="75" t="str">
        <f t="shared" si="7"/>
        <v/>
      </c>
    </row>
    <row r="252" spans="1:12" x14ac:dyDescent="0.25">
      <c r="A252" s="72" t="str">
        <f>IF($B252="","",COUNT($B$7:$B252))</f>
        <v/>
      </c>
      <c r="B252" s="74"/>
      <c r="C252" s="56" t="str">
        <f>IF($B252="","",IFERROR(MATCH($B252,Quincenas!$E$7:$E$30,1),""))</f>
        <v/>
      </c>
      <c r="D252" s="56" t="str">
        <f t="shared" si="6"/>
        <v/>
      </c>
      <c r="E252" s="68"/>
      <c r="F252" s="68"/>
      <c r="G252" s="68"/>
      <c r="H252" s="51"/>
      <c r="I252" s="68"/>
      <c r="J252" s="70"/>
      <c r="K252" s="71"/>
      <c r="L252" s="76" t="str">
        <f t="shared" si="7"/>
        <v/>
      </c>
    </row>
    <row r="253" spans="1:12" x14ac:dyDescent="0.25">
      <c r="A253" s="67" t="str">
        <f>IF($B253="","",COUNT($B$7:$B253))</f>
        <v/>
      </c>
      <c r="B253" s="74"/>
      <c r="C253" s="50" t="str">
        <f>IF($B253="","",IFERROR(MATCH($B253,Quincenas!$E$7:$E$30,1),""))</f>
        <v/>
      </c>
      <c r="D253" s="50" t="str">
        <f t="shared" si="6"/>
        <v/>
      </c>
      <c r="E253" s="68"/>
      <c r="F253" s="68"/>
      <c r="G253" s="68"/>
      <c r="H253" s="51"/>
      <c r="I253" s="68"/>
      <c r="J253" s="70"/>
      <c r="K253" s="71"/>
      <c r="L253" s="75" t="str">
        <f t="shared" si="7"/>
        <v/>
      </c>
    </row>
    <row r="254" spans="1:12" x14ac:dyDescent="0.25">
      <c r="A254" s="72" t="str">
        <f>IF($B254="","",COUNT($B$7:$B254))</f>
        <v/>
      </c>
      <c r="B254" s="74"/>
      <c r="C254" s="56" t="str">
        <f>IF($B254="","",IFERROR(MATCH($B254,Quincenas!$E$7:$E$30,1),""))</f>
        <v/>
      </c>
      <c r="D254" s="56" t="str">
        <f t="shared" si="6"/>
        <v/>
      </c>
      <c r="E254" s="68"/>
      <c r="F254" s="68"/>
      <c r="G254" s="68"/>
      <c r="H254" s="51"/>
      <c r="I254" s="68"/>
      <c r="J254" s="70"/>
      <c r="K254" s="71"/>
      <c r="L254" s="76" t="str">
        <f t="shared" si="7"/>
        <v/>
      </c>
    </row>
    <row r="255" spans="1:12" x14ac:dyDescent="0.25">
      <c r="A255" s="67" t="str">
        <f>IF($B255="","",COUNT($B$7:$B255))</f>
        <v/>
      </c>
      <c r="B255" s="74"/>
      <c r="C255" s="50" t="str">
        <f>IF($B255="","",IFERROR(MATCH($B255,Quincenas!$E$7:$E$30,1),""))</f>
        <v/>
      </c>
      <c r="D255" s="50" t="str">
        <f t="shared" si="6"/>
        <v/>
      </c>
      <c r="E255" s="68"/>
      <c r="F255" s="68"/>
      <c r="G255" s="68"/>
      <c r="H255" s="51"/>
      <c r="I255" s="68"/>
      <c r="J255" s="70"/>
      <c r="K255" s="71"/>
      <c r="L255" s="75" t="str">
        <f t="shared" si="7"/>
        <v/>
      </c>
    </row>
    <row r="256" spans="1:12" x14ac:dyDescent="0.25">
      <c r="A256" s="72" t="str">
        <f>IF($B256="","",COUNT($B$7:$B256))</f>
        <v/>
      </c>
      <c r="B256" s="74"/>
      <c r="C256" s="56" t="str">
        <f>IF($B256="","",IFERROR(MATCH($B256,Quincenas!$E$7:$E$30,1),""))</f>
        <v/>
      </c>
      <c r="D256" s="56" t="str">
        <f t="shared" si="6"/>
        <v/>
      </c>
      <c r="E256" s="68"/>
      <c r="F256" s="68"/>
      <c r="G256" s="68"/>
      <c r="H256" s="51"/>
      <c r="I256" s="68"/>
      <c r="J256" s="70"/>
      <c r="K256" s="71"/>
      <c r="L256" s="76" t="str">
        <f t="shared" si="7"/>
        <v/>
      </c>
    </row>
    <row r="257" spans="1:12" x14ac:dyDescent="0.25">
      <c r="A257" s="67" t="str">
        <f>IF($B257="","",COUNT($B$7:$B257))</f>
        <v/>
      </c>
      <c r="B257" s="74"/>
      <c r="C257" s="50" t="str">
        <f>IF($B257="","",IFERROR(MATCH($B257,Quincenas!$E$7:$E$30,1),""))</f>
        <v/>
      </c>
      <c r="D257" s="50" t="str">
        <f t="shared" si="6"/>
        <v/>
      </c>
      <c r="E257" s="68"/>
      <c r="F257" s="68"/>
      <c r="G257" s="68"/>
      <c r="H257" s="51"/>
      <c r="I257" s="68"/>
      <c r="J257" s="70"/>
      <c r="K257" s="71"/>
      <c r="L257" s="75" t="str">
        <f t="shared" si="7"/>
        <v/>
      </c>
    </row>
    <row r="258" spans="1:12" x14ac:dyDescent="0.25">
      <c r="A258" s="72" t="str">
        <f>IF($B258="","",COUNT($B$7:$B258))</f>
        <v/>
      </c>
      <c r="B258" s="74"/>
      <c r="C258" s="56" t="str">
        <f>IF($B258="","",IFERROR(MATCH($B258,Quincenas!$E$7:$E$30,1),""))</f>
        <v/>
      </c>
      <c r="D258" s="56" t="str">
        <f t="shared" si="6"/>
        <v/>
      </c>
      <c r="E258" s="68"/>
      <c r="F258" s="68"/>
      <c r="G258" s="68"/>
      <c r="H258" s="51"/>
      <c r="I258" s="68"/>
      <c r="J258" s="70"/>
      <c r="K258" s="71"/>
      <c r="L258" s="76" t="str">
        <f t="shared" si="7"/>
        <v/>
      </c>
    </row>
    <row r="259" spans="1:12" x14ac:dyDescent="0.25">
      <c r="A259" s="67" t="str">
        <f>IF($B259="","",COUNT($B$7:$B259))</f>
        <v/>
      </c>
      <c r="B259" s="74"/>
      <c r="C259" s="50" t="str">
        <f>IF($B259="","",IFERROR(MATCH($B259,Quincenas!$E$7:$E$30,1),""))</f>
        <v/>
      </c>
      <c r="D259" s="50" t="str">
        <f t="shared" ref="D259:D322" si="8">IF($B259="","",MONTH($B259))</f>
        <v/>
      </c>
      <c r="E259" s="68"/>
      <c r="F259" s="68"/>
      <c r="G259" s="68"/>
      <c r="H259" s="51"/>
      <c r="I259" s="68"/>
      <c r="J259" s="70"/>
      <c r="K259" s="71"/>
      <c r="L259" s="75" t="str">
        <f t="shared" ref="L259:L322" si="9">IF($B259="","",IF($C259="","La fecha está fuera del año configurado",IF($E259="","Falta indicar el tipo",IF($H259="","Falta el monto",IF($F259="","Falta la categoría",IF(AND($E259="Fijo",COUNTIF(Fijos_Concepto,$G259)=0),"El concepto no existe en la hoja Fijos",IF($J259="Pendiente","Movimiento pendiente de pago","OK")))))))</f>
        <v/>
      </c>
    </row>
    <row r="260" spans="1:12" x14ac:dyDescent="0.25">
      <c r="A260" s="72" t="str">
        <f>IF($B260="","",COUNT($B$7:$B260))</f>
        <v/>
      </c>
      <c r="B260" s="74"/>
      <c r="C260" s="56" t="str">
        <f>IF($B260="","",IFERROR(MATCH($B260,Quincenas!$E$7:$E$30,1),""))</f>
        <v/>
      </c>
      <c r="D260" s="56" t="str">
        <f t="shared" si="8"/>
        <v/>
      </c>
      <c r="E260" s="68"/>
      <c r="F260" s="68"/>
      <c r="G260" s="68"/>
      <c r="H260" s="51"/>
      <c r="I260" s="68"/>
      <c r="J260" s="70"/>
      <c r="K260" s="71"/>
      <c r="L260" s="76" t="str">
        <f t="shared" si="9"/>
        <v/>
      </c>
    </row>
    <row r="261" spans="1:12" x14ac:dyDescent="0.25">
      <c r="A261" s="67" t="str">
        <f>IF($B261="","",COUNT($B$7:$B261))</f>
        <v/>
      </c>
      <c r="B261" s="74"/>
      <c r="C261" s="50" t="str">
        <f>IF($B261="","",IFERROR(MATCH($B261,Quincenas!$E$7:$E$30,1),""))</f>
        <v/>
      </c>
      <c r="D261" s="50" t="str">
        <f t="shared" si="8"/>
        <v/>
      </c>
      <c r="E261" s="68"/>
      <c r="F261" s="68"/>
      <c r="G261" s="68"/>
      <c r="H261" s="51"/>
      <c r="I261" s="68"/>
      <c r="J261" s="70"/>
      <c r="K261" s="71"/>
      <c r="L261" s="75" t="str">
        <f t="shared" si="9"/>
        <v/>
      </c>
    </row>
    <row r="262" spans="1:12" x14ac:dyDescent="0.25">
      <c r="A262" s="72" t="str">
        <f>IF($B262="","",COUNT($B$7:$B262))</f>
        <v/>
      </c>
      <c r="B262" s="74"/>
      <c r="C262" s="56" t="str">
        <f>IF($B262="","",IFERROR(MATCH($B262,Quincenas!$E$7:$E$30,1),""))</f>
        <v/>
      </c>
      <c r="D262" s="56" t="str">
        <f t="shared" si="8"/>
        <v/>
      </c>
      <c r="E262" s="68"/>
      <c r="F262" s="68"/>
      <c r="G262" s="68"/>
      <c r="H262" s="51"/>
      <c r="I262" s="68"/>
      <c r="J262" s="70"/>
      <c r="K262" s="71"/>
      <c r="L262" s="76" t="str">
        <f t="shared" si="9"/>
        <v/>
      </c>
    </row>
    <row r="263" spans="1:12" x14ac:dyDescent="0.25">
      <c r="A263" s="67" t="str">
        <f>IF($B263="","",COUNT($B$7:$B263))</f>
        <v/>
      </c>
      <c r="B263" s="74"/>
      <c r="C263" s="50" t="str">
        <f>IF($B263="","",IFERROR(MATCH($B263,Quincenas!$E$7:$E$30,1),""))</f>
        <v/>
      </c>
      <c r="D263" s="50" t="str">
        <f t="shared" si="8"/>
        <v/>
      </c>
      <c r="E263" s="68"/>
      <c r="F263" s="68"/>
      <c r="G263" s="68"/>
      <c r="H263" s="51"/>
      <c r="I263" s="68"/>
      <c r="J263" s="70"/>
      <c r="K263" s="71"/>
      <c r="L263" s="75" t="str">
        <f t="shared" si="9"/>
        <v/>
      </c>
    </row>
    <row r="264" spans="1:12" x14ac:dyDescent="0.25">
      <c r="A264" s="72" t="str">
        <f>IF($B264="","",COUNT($B$7:$B264))</f>
        <v/>
      </c>
      <c r="B264" s="74"/>
      <c r="C264" s="56" t="str">
        <f>IF($B264="","",IFERROR(MATCH($B264,Quincenas!$E$7:$E$30,1),""))</f>
        <v/>
      </c>
      <c r="D264" s="56" t="str">
        <f t="shared" si="8"/>
        <v/>
      </c>
      <c r="E264" s="68"/>
      <c r="F264" s="68"/>
      <c r="G264" s="68"/>
      <c r="H264" s="51"/>
      <c r="I264" s="68"/>
      <c r="J264" s="70"/>
      <c r="K264" s="71"/>
      <c r="L264" s="76" t="str">
        <f t="shared" si="9"/>
        <v/>
      </c>
    </row>
    <row r="265" spans="1:12" x14ac:dyDescent="0.25">
      <c r="A265" s="67" t="str">
        <f>IF($B265="","",COUNT($B$7:$B265))</f>
        <v/>
      </c>
      <c r="B265" s="74"/>
      <c r="C265" s="50" t="str">
        <f>IF($B265="","",IFERROR(MATCH($B265,Quincenas!$E$7:$E$30,1),""))</f>
        <v/>
      </c>
      <c r="D265" s="50" t="str">
        <f t="shared" si="8"/>
        <v/>
      </c>
      <c r="E265" s="68"/>
      <c r="F265" s="68"/>
      <c r="G265" s="68"/>
      <c r="H265" s="51"/>
      <c r="I265" s="68"/>
      <c r="J265" s="70"/>
      <c r="K265" s="71"/>
      <c r="L265" s="75" t="str">
        <f t="shared" si="9"/>
        <v/>
      </c>
    </row>
    <row r="266" spans="1:12" x14ac:dyDescent="0.25">
      <c r="A266" s="72" t="str">
        <f>IF($B266="","",COUNT($B$7:$B266))</f>
        <v/>
      </c>
      <c r="B266" s="74"/>
      <c r="C266" s="56" t="str">
        <f>IF($B266="","",IFERROR(MATCH($B266,Quincenas!$E$7:$E$30,1),""))</f>
        <v/>
      </c>
      <c r="D266" s="56" t="str">
        <f t="shared" si="8"/>
        <v/>
      </c>
      <c r="E266" s="68"/>
      <c r="F266" s="68"/>
      <c r="G266" s="68"/>
      <c r="H266" s="51"/>
      <c r="I266" s="68"/>
      <c r="J266" s="70"/>
      <c r="K266" s="71"/>
      <c r="L266" s="76" t="str">
        <f t="shared" si="9"/>
        <v/>
      </c>
    </row>
    <row r="267" spans="1:12" x14ac:dyDescent="0.25">
      <c r="A267" s="67" t="str">
        <f>IF($B267="","",COUNT($B$7:$B267))</f>
        <v/>
      </c>
      <c r="B267" s="74"/>
      <c r="C267" s="50" t="str">
        <f>IF($B267="","",IFERROR(MATCH($B267,Quincenas!$E$7:$E$30,1),""))</f>
        <v/>
      </c>
      <c r="D267" s="50" t="str">
        <f t="shared" si="8"/>
        <v/>
      </c>
      <c r="E267" s="68"/>
      <c r="F267" s="68"/>
      <c r="G267" s="68"/>
      <c r="H267" s="51"/>
      <c r="I267" s="68"/>
      <c r="J267" s="70"/>
      <c r="K267" s="71"/>
      <c r="L267" s="75" t="str">
        <f t="shared" si="9"/>
        <v/>
      </c>
    </row>
    <row r="268" spans="1:12" x14ac:dyDescent="0.25">
      <c r="A268" s="72" t="str">
        <f>IF($B268="","",COUNT($B$7:$B268))</f>
        <v/>
      </c>
      <c r="B268" s="74"/>
      <c r="C268" s="56" t="str">
        <f>IF($B268="","",IFERROR(MATCH($B268,Quincenas!$E$7:$E$30,1),""))</f>
        <v/>
      </c>
      <c r="D268" s="56" t="str">
        <f t="shared" si="8"/>
        <v/>
      </c>
      <c r="E268" s="68"/>
      <c r="F268" s="68"/>
      <c r="G268" s="68"/>
      <c r="H268" s="51"/>
      <c r="I268" s="68"/>
      <c r="J268" s="70"/>
      <c r="K268" s="71"/>
      <c r="L268" s="76" t="str">
        <f t="shared" si="9"/>
        <v/>
      </c>
    </row>
    <row r="269" spans="1:12" x14ac:dyDescent="0.25">
      <c r="A269" s="67" t="str">
        <f>IF($B269="","",COUNT($B$7:$B269))</f>
        <v/>
      </c>
      <c r="B269" s="74"/>
      <c r="C269" s="50" t="str">
        <f>IF($B269="","",IFERROR(MATCH($B269,Quincenas!$E$7:$E$30,1),""))</f>
        <v/>
      </c>
      <c r="D269" s="50" t="str">
        <f t="shared" si="8"/>
        <v/>
      </c>
      <c r="E269" s="68"/>
      <c r="F269" s="68"/>
      <c r="G269" s="68"/>
      <c r="H269" s="51"/>
      <c r="I269" s="68"/>
      <c r="J269" s="70"/>
      <c r="K269" s="71"/>
      <c r="L269" s="75" t="str">
        <f t="shared" si="9"/>
        <v/>
      </c>
    </row>
    <row r="270" spans="1:12" x14ac:dyDescent="0.25">
      <c r="A270" s="72" t="str">
        <f>IF($B270="","",COUNT($B$7:$B270))</f>
        <v/>
      </c>
      <c r="B270" s="74"/>
      <c r="C270" s="56" t="str">
        <f>IF($B270="","",IFERROR(MATCH($B270,Quincenas!$E$7:$E$30,1),""))</f>
        <v/>
      </c>
      <c r="D270" s="56" t="str">
        <f t="shared" si="8"/>
        <v/>
      </c>
      <c r="E270" s="68"/>
      <c r="F270" s="68"/>
      <c r="G270" s="68"/>
      <c r="H270" s="51"/>
      <c r="I270" s="68"/>
      <c r="J270" s="70"/>
      <c r="K270" s="71"/>
      <c r="L270" s="76" t="str">
        <f t="shared" si="9"/>
        <v/>
      </c>
    </row>
    <row r="271" spans="1:12" x14ac:dyDescent="0.25">
      <c r="A271" s="67" t="str">
        <f>IF($B271="","",COUNT($B$7:$B271))</f>
        <v/>
      </c>
      <c r="B271" s="74"/>
      <c r="C271" s="50" t="str">
        <f>IF($B271="","",IFERROR(MATCH($B271,Quincenas!$E$7:$E$30,1),""))</f>
        <v/>
      </c>
      <c r="D271" s="50" t="str">
        <f t="shared" si="8"/>
        <v/>
      </c>
      <c r="E271" s="68"/>
      <c r="F271" s="68"/>
      <c r="G271" s="68"/>
      <c r="H271" s="51"/>
      <c r="I271" s="68"/>
      <c r="J271" s="70"/>
      <c r="K271" s="71"/>
      <c r="L271" s="75" t="str">
        <f t="shared" si="9"/>
        <v/>
      </c>
    </row>
    <row r="272" spans="1:12" x14ac:dyDescent="0.25">
      <c r="A272" s="72" t="str">
        <f>IF($B272="","",COUNT($B$7:$B272))</f>
        <v/>
      </c>
      <c r="B272" s="74"/>
      <c r="C272" s="56" t="str">
        <f>IF($B272="","",IFERROR(MATCH($B272,Quincenas!$E$7:$E$30,1),""))</f>
        <v/>
      </c>
      <c r="D272" s="56" t="str">
        <f t="shared" si="8"/>
        <v/>
      </c>
      <c r="E272" s="68"/>
      <c r="F272" s="68"/>
      <c r="G272" s="68"/>
      <c r="H272" s="51"/>
      <c r="I272" s="68"/>
      <c r="J272" s="70"/>
      <c r="K272" s="71"/>
      <c r="L272" s="76" t="str">
        <f t="shared" si="9"/>
        <v/>
      </c>
    </row>
    <row r="273" spans="1:12" x14ac:dyDescent="0.25">
      <c r="A273" s="67" t="str">
        <f>IF($B273="","",COUNT($B$7:$B273))</f>
        <v/>
      </c>
      <c r="B273" s="74"/>
      <c r="C273" s="50" t="str">
        <f>IF($B273="","",IFERROR(MATCH($B273,Quincenas!$E$7:$E$30,1),""))</f>
        <v/>
      </c>
      <c r="D273" s="50" t="str">
        <f t="shared" si="8"/>
        <v/>
      </c>
      <c r="E273" s="68"/>
      <c r="F273" s="68"/>
      <c r="G273" s="68"/>
      <c r="H273" s="51"/>
      <c r="I273" s="68"/>
      <c r="J273" s="70"/>
      <c r="K273" s="71"/>
      <c r="L273" s="75" t="str">
        <f t="shared" si="9"/>
        <v/>
      </c>
    </row>
    <row r="274" spans="1:12" x14ac:dyDescent="0.25">
      <c r="A274" s="72" t="str">
        <f>IF($B274="","",COUNT($B$7:$B274))</f>
        <v/>
      </c>
      <c r="B274" s="74"/>
      <c r="C274" s="56" t="str">
        <f>IF($B274="","",IFERROR(MATCH($B274,Quincenas!$E$7:$E$30,1),""))</f>
        <v/>
      </c>
      <c r="D274" s="56" t="str">
        <f t="shared" si="8"/>
        <v/>
      </c>
      <c r="E274" s="68"/>
      <c r="F274" s="68"/>
      <c r="G274" s="68"/>
      <c r="H274" s="51"/>
      <c r="I274" s="68"/>
      <c r="J274" s="70"/>
      <c r="K274" s="71"/>
      <c r="L274" s="76" t="str">
        <f t="shared" si="9"/>
        <v/>
      </c>
    </row>
    <row r="275" spans="1:12" x14ac:dyDescent="0.25">
      <c r="A275" s="67" t="str">
        <f>IF($B275="","",COUNT($B$7:$B275))</f>
        <v/>
      </c>
      <c r="B275" s="74"/>
      <c r="C275" s="50" t="str">
        <f>IF($B275="","",IFERROR(MATCH($B275,Quincenas!$E$7:$E$30,1),""))</f>
        <v/>
      </c>
      <c r="D275" s="50" t="str">
        <f t="shared" si="8"/>
        <v/>
      </c>
      <c r="E275" s="68"/>
      <c r="F275" s="68"/>
      <c r="G275" s="68"/>
      <c r="H275" s="51"/>
      <c r="I275" s="68"/>
      <c r="J275" s="70"/>
      <c r="K275" s="71"/>
      <c r="L275" s="75" t="str">
        <f t="shared" si="9"/>
        <v/>
      </c>
    </row>
    <row r="276" spans="1:12" x14ac:dyDescent="0.25">
      <c r="A276" s="72" t="str">
        <f>IF($B276="","",COUNT($B$7:$B276))</f>
        <v/>
      </c>
      <c r="B276" s="74"/>
      <c r="C276" s="56" t="str">
        <f>IF($B276="","",IFERROR(MATCH($B276,Quincenas!$E$7:$E$30,1),""))</f>
        <v/>
      </c>
      <c r="D276" s="56" t="str">
        <f t="shared" si="8"/>
        <v/>
      </c>
      <c r="E276" s="68"/>
      <c r="F276" s="68"/>
      <c r="G276" s="68"/>
      <c r="H276" s="51"/>
      <c r="I276" s="68"/>
      <c r="J276" s="70"/>
      <c r="K276" s="71"/>
      <c r="L276" s="76" t="str">
        <f t="shared" si="9"/>
        <v/>
      </c>
    </row>
    <row r="277" spans="1:12" x14ac:dyDescent="0.25">
      <c r="A277" s="67" t="str">
        <f>IF($B277="","",COUNT($B$7:$B277))</f>
        <v/>
      </c>
      <c r="B277" s="74"/>
      <c r="C277" s="50" t="str">
        <f>IF($B277="","",IFERROR(MATCH($B277,Quincenas!$E$7:$E$30,1),""))</f>
        <v/>
      </c>
      <c r="D277" s="50" t="str">
        <f t="shared" si="8"/>
        <v/>
      </c>
      <c r="E277" s="68"/>
      <c r="F277" s="68"/>
      <c r="G277" s="68"/>
      <c r="H277" s="51"/>
      <c r="I277" s="68"/>
      <c r="J277" s="70"/>
      <c r="K277" s="71"/>
      <c r="L277" s="75" t="str">
        <f t="shared" si="9"/>
        <v/>
      </c>
    </row>
    <row r="278" spans="1:12" x14ac:dyDescent="0.25">
      <c r="A278" s="72" t="str">
        <f>IF($B278="","",COUNT($B$7:$B278))</f>
        <v/>
      </c>
      <c r="B278" s="74"/>
      <c r="C278" s="56" t="str">
        <f>IF($B278="","",IFERROR(MATCH($B278,Quincenas!$E$7:$E$30,1),""))</f>
        <v/>
      </c>
      <c r="D278" s="56" t="str">
        <f t="shared" si="8"/>
        <v/>
      </c>
      <c r="E278" s="68"/>
      <c r="F278" s="68"/>
      <c r="G278" s="68"/>
      <c r="H278" s="51"/>
      <c r="I278" s="68"/>
      <c r="J278" s="70"/>
      <c r="K278" s="71"/>
      <c r="L278" s="76" t="str">
        <f t="shared" si="9"/>
        <v/>
      </c>
    </row>
    <row r="279" spans="1:12" x14ac:dyDescent="0.25">
      <c r="A279" s="67" t="str">
        <f>IF($B279="","",COUNT($B$7:$B279))</f>
        <v/>
      </c>
      <c r="B279" s="74"/>
      <c r="C279" s="50" t="str">
        <f>IF($B279="","",IFERROR(MATCH($B279,Quincenas!$E$7:$E$30,1),""))</f>
        <v/>
      </c>
      <c r="D279" s="50" t="str">
        <f t="shared" si="8"/>
        <v/>
      </c>
      <c r="E279" s="68"/>
      <c r="F279" s="68"/>
      <c r="G279" s="68"/>
      <c r="H279" s="51"/>
      <c r="I279" s="68"/>
      <c r="J279" s="70"/>
      <c r="K279" s="71"/>
      <c r="L279" s="75" t="str">
        <f t="shared" si="9"/>
        <v/>
      </c>
    </row>
    <row r="280" spans="1:12" x14ac:dyDescent="0.25">
      <c r="A280" s="72" t="str">
        <f>IF($B280="","",COUNT($B$7:$B280))</f>
        <v/>
      </c>
      <c r="B280" s="74"/>
      <c r="C280" s="56" t="str">
        <f>IF($B280="","",IFERROR(MATCH($B280,Quincenas!$E$7:$E$30,1),""))</f>
        <v/>
      </c>
      <c r="D280" s="56" t="str">
        <f t="shared" si="8"/>
        <v/>
      </c>
      <c r="E280" s="68"/>
      <c r="F280" s="68"/>
      <c r="G280" s="68"/>
      <c r="H280" s="51"/>
      <c r="I280" s="68"/>
      <c r="J280" s="70"/>
      <c r="K280" s="71"/>
      <c r="L280" s="76" t="str">
        <f t="shared" si="9"/>
        <v/>
      </c>
    </row>
    <row r="281" spans="1:12" x14ac:dyDescent="0.25">
      <c r="A281" s="67" t="str">
        <f>IF($B281="","",COUNT($B$7:$B281))</f>
        <v/>
      </c>
      <c r="B281" s="74"/>
      <c r="C281" s="50" t="str">
        <f>IF($B281="","",IFERROR(MATCH($B281,Quincenas!$E$7:$E$30,1),""))</f>
        <v/>
      </c>
      <c r="D281" s="50" t="str">
        <f t="shared" si="8"/>
        <v/>
      </c>
      <c r="E281" s="68"/>
      <c r="F281" s="68"/>
      <c r="G281" s="68"/>
      <c r="H281" s="51"/>
      <c r="I281" s="68"/>
      <c r="J281" s="70"/>
      <c r="K281" s="71"/>
      <c r="L281" s="75" t="str">
        <f t="shared" si="9"/>
        <v/>
      </c>
    </row>
    <row r="282" spans="1:12" x14ac:dyDescent="0.25">
      <c r="A282" s="72" t="str">
        <f>IF($B282="","",COUNT($B$7:$B282))</f>
        <v/>
      </c>
      <c r="B282" s="74"/>
      <c r="C282" s="56" t="str">
        <f>IF($B282="","",IFERROR(MATCH($B282,Quincenas!$E$7:$E$30,1),""))</f>
        <v/>
      </c>
      <c r="D282" s="56" t="str">
        <f t="shared" si="8"/>
        <v/>
      </c>
      <c r="E282" s="68"/>
      <c r="F282" s="68"/>
      <c r="G282" s="68"/>
      <c r="H282" s="51"/>
      <c r="I282" s="68"/>
      <c r="J282" s="70"/>
      <c r="K282" s="71"/>
      <c r="L282" s="76" t="str">
        <f t="shared" si="9"/>
        <v/>
      </c>
    </row>
    <row r="283" spans="1:12" x14ac:dyDescent="0.25">
      <c r="A283" s="67" t="str">
        <f>IF($B283="","",COUNT($B$7:$B283))</f>
        <v/>
      </c>
      <c r="B283" s="74"/>
      <c r="C283" s="50" t="str">
        <f>IF($B283="","",IFERROR(MATCH($B283,Quincenas!$E$7:$E$30,1),""))</f>
        <v/>
      </c>
      <c r="D283" s="50" t="str">
        <f t="shared" si="8"/>
        <v/>
      </c>
      <c r="E283" s="68"/>
      <c r="F283" s="68"/>
      <c r="G283" s="68"/>
      <c r="H283" s="51"/>
      <c r="I283" s="68"/>
      <c r="J283" s="70"/>
      <c r="K283" s="71"/>
      <c r="L283" s="75" t="str">
        <f t="shared" si="9"/>
        <v/>
      </c>
    </row>
    <row r="284" spans="1:12" x14ac:dyDescent="0.25">
      <c r="A284" s="72" t="str">
        <f>IF($B284="","",COUNT($B$7:$B284))</f>
        <v/>
      </c>
      <c r="B284" s="74"/>
      <c r="C284" s="56" t="str">
        <f>IF($B284="","",IFERROR(MATCH($B284,Quincenas!$E$7:$E$30,1),""))</f>
        <v/>
      </c>
      <c r="D284" s="56" t="str">
        <f t="shared" si="8"/>
        <v/>
      </c>
      <c r="E284" s="68"/>
      <c r="F284" s="68"/>
      <c r="G284" s="68"/>
      <c r="H284" s="51"/>
      <c r="I284" s="68"/>
      <c r="J284" s="70"/>
      <c r="K284" s="71"/>
      <c r="L284" s="76" t="str">
        <f t="shared" si="9"/>
        <v/>
      </c>
    </row>
    <row r="285" spans="1:12" x14ac:dyDescent="0.25">
      <c r="A285" s="67" t="str">
        <f>IF($B285="","",COUNT($B$7:$B285))</f>
        <v/>
      </c>
      <c r="B285" s="74"/>
      <c r="C285" s="50" t="str">
        <f>IF($B285="","",IFERROR(MATCH($B285,Quincenas!$E$7:$E$30,1),""))</f>
        <v/>
      </c>
      <c r="D285" s="50" t="str">
        <f t="shared" si="8"/>
        <v/>
      </c>
      <c r="E285" s="68"/>
      <c r="F285" s="68"/>
      <c r="G285" s="68"/>
      <c r="H285" s="51"/>
      <c r="I285" s="68"/>
      <c r="J285" s="70"/>
      <c r="K285" s="71"/>
      <c r="L285" s="75" t="str">
        <f t="shared" si="9"/>
        <v/>
      </c>
    </row>
    <row r="286" spans="1:12" x14ac:dyDescent="0.25">
      <c r="A286" s="72" t="str">
        <f>IF($B286="","",COUNT($B$7:$B286))</f>
        <v/>
      </c>
      <c r="B286" s="74"/>
      <c r="C286" s="56" t="str">
        <f>IF($B286="","",IFERROR(MATCH($B286,Quincenas!$E$7:$E$30,1),""))</f>
        <v/>
      </c>
      <c r="D286" s="56" t="str">
        <f t="shared" si="8"/>
        <v/>
      </c>
      <c r="E286" s="68"/>
      <c r="F286" s="68"/>
      <c r="G286" s="68"/>
      <c r="H286" s="51"/>
      <c r="I286" s="68"/>
      <c r="J286" s="70"/>
      <c r="K286" s="71"/>
      <c r="L286" s="76" t="str">
        <f t="shared" si="9"/>
        <v/>
      </c>
    </row>
    <row r="287" spans="1:12" x14ac:dyDescent="0.25">
      <c r="A287" s="67" t="str">
        <f>IF($B287="","",COUNT($B$7:$B287))</f>
        <v/>
      </c>
      <c r="B287" s="74"/>
      <c r="C287" s="50" t="str">
        <f>IF($B287="","",IFERROR(MATCH($B287,Quincenas!$E$7:$E$30,1),""))</f>
        <v/>
      </c>
      <c r="D287" s="50" t="str">
        <f t="shared" si="8"/>
        <v/>
      </c>
      <c r="E287" s="68"/>
      <c r="F287" s="68"/>
      <c r="G287" s="68"/>
      <c r="H287" s="51"/>
      <c r="I287" s="68"/>
      <c r="J287" s="70"/>
      <c r="K287" s="71"/>
      <c r="L287" s="75" t="str">
        <f t="shared" si="9"/>
        <v/>
      </c>
    </row>
    <row r="288" spans="1:12" x14ac:dyDescent="0.25">
      <c r="A288" s="72" t="str">
        <f>IF($B288="","",COUNT($B$7:$B288))</f>
        <v/>
      </c>
      <c r="B288" s="74"/>
      <c r="C288" s="56" t="str">
        <f>IF($B288="","",IFERROR(MATCH($B288,Quincenas!$E$7:$E$30,1),""))</f>
        <v/>
      </c>
      <c r="D288" s="56" t="str">
        <f t="shared" si="8"/>
        <v/>
      </c>
      <c r="E288" s="68"/>
      <c r="F288" s="68"/>
      <c r="G288" s="68"/>
      <c r="H288" s="51"/>
      <c r="I288" s="68"/>
      <c r="J288" s="70"/>
      <c r="K288" s="71"/>
      <c r="L288" s="76" t="str">
        <f t="shared" si="9"/>
        <v/>
      </c>
    </row>
    <row r="289" spans="1:12" x14ac:dyDescent="0.25">
      <c r="A289" s="67" t="str">
        <f>IF($B289="","",COUNT($B$7:$B289))</f>
        <v/>
      </c>
      <c r="B289" s="74"/>
      <c r="C289" s="50" t="str">
        <f>IF($B289="","",IFERROR(MATCH($B289,Quincenas!$E$7:$E$30,1),""))</f>
        <v/>
      </c>
      <c r="D289" s="50" t="str">
        <f t="shared" si="8"/>
        <v/>
      </c>
      <c r="E289" s="68"/>
      <c r="F289" s="68"/>
      <c r="G289" s="68"/>
      <c r="H289" s="51"/>
      <c r="I289" s="68"/>
      <c r="J289" s="70"/>
      <c r="K289" s="71"/>
      <c r="L289" s="75" t="str">
        <f t="shared" si="9"/>
        <v/>
      </c>
    </row>
    <row r="290" spans="1:12" x14ac:dyDescent="0.25">
      <c r="A290" s="72" t="str">
        <f>IF($B290="","",COUNT($B$7:$B290))</f>
        <v/>
      </c>
      <c r="B290" s="74"/>
      <c r="C290" s="56" t="str">
        <f>IF($B290="","",IFERROR(MATCH($B290,Quincenas!$E$7:$E$30,1),""))</f>
        <v/>
      </c>
      <c r="D290" s="56" t="str">
        <f t="shared" si="8"/>
        <v/>
      </c>
      <c r="E290" s="68"/>
      <c r="F290" s="68"/>
      <c r="G290" s="68"/>
      <c r="H290" s="51"/>
      <c r="I290" s="68"/>
      <c r="J290" s="70"/>
      <c r="K290" s="71"/>
      <c r="L290" s="76" t="str">
        <f t="shared" si="9"/>
        <v/>
      </c>
    </row>
    <row r="291" spans="1:12" x14ac:dyDescent="0.25">
      <c r="A291" s="67" t="str">
        <f>IF($B291="","",COUNT($B$7:$B291))</f>
        <v/>
      </c>
      <c r="B291" s="74"/>
      <c r="C291" s="50" t="str">
        <f>IF($B291="","",IFERROR(MATCH($B291,Quincenas!$E$7:$E$30,1),""))</f>
        <v/>
      </c>
      <c r="D291" s="50" t="str">
        <f t="shared" si="8"/>
        <v/>
      </c>
      <c r="E291" s="68"/>
      <c r="F291" s="68"/>
      <c r="G291" s="68"/>
      <c r="H291" s="51"/>
      <c r="I291" s="68"/>
      <c r="J291" s="70"/>
      <c r="K291" s="71"/>
      <c r="L291" s="75" t="str">
        <f t="shared" si="9"/>
        <v/>
      </c>
    </row>
    <row r="292" spans="1:12" x14ac:dyDescent="0.25">
      <c r="A292" s="72" t="str">
        <f>IF($B292="","",COUNT($B$7:$B292))</f>
        <v/>
      </c>
      <c r="B292" s="74"/>
      <c r="C292" s="56" t="str">
        <f>IF($B292="","",IFERROR(MATCH($B292,Quincenas!$E$7:$E$30,1),""))</f>
        <v/>
      </c>
      <c r="D292" s="56" t="str">
        <f t="shared" si="8"/>
        <v/>
      </c>
      <c r="E292" s="68"/>
      <c r="F292" s="68"/>
      <c r="G292" s="68"/>
      <c r="H292" s="51"/>
      <c r="I292" s="68"/>
      <c r="J292" s="70"/>
      <c r="K292" s="71"/>
      <c r="L292" s="76" t="str">
        <f t="shared" si="9"/>
        <v/>
      </c>
    </row>
    <row r="293" spans="1:12" x14ac:dyDescent="0.25">
      <c r="A293" s="67" t="str">
        <f>IF($B293="","",COUNT($B$7:$B293))</f>
        <v/>
      </c>
      <c r="B293" s="74"/>
      <c r="C293" s="50" t="str">
        <f>IF($B293="","",IFERROR(MATCH($B293,Quincenas!$E$7:$E$30,1),""))</f>
        <v/>
      </c>
      <c r="D293" s="50" t="str">
        <f t="shared" si="8"/>
        <v/>
      </c>
      <c r="E293" s="68"/>
      <c r="F293" s="68"/>
      <c r="G293" s="68"/>
      <c r="H293" s="51"/>
      <c r="I293" s="68"/>
      <c r="J293" s="70"/>
      <c r="K293" s="71"/>
      <c r="L293" s="75" t="str">
        <f t="shared" si="9"/>
        <v/>
      </c>
    </row>
    <row r="294" spans="1:12" x14ac:dyDescent="0.25">
      <c r="A294" s="72" t="str">
        <f>IF($B294="","",COUNT($B$7:$B294))</f>
        <v/>
      </c>
      <c r="B294" s="74"/>
      <c r="C294" s="56" t="str">
        <f>IF($B294="","",IFERROR(MATCH($B294,Quincenas!$E$7:$E$30,1),""))</f>
        <v/>
      </c>
      <c r="D294" s="56" t="str">
        <f t="shared" si="8"/>
        <v/>
      </c>
      <c r="E294" s="68"/>
      <c r="F294" s="68"/>
      <c r="G294" s="68"/>
      <c r="H294" s="51"/>
      <c r="I294" s="68"/>
      <c r="J294" s="70"/>
      <c r="K294" s="71"/>
      <c r="L294" s="76" t="str">
        <f t="shared" si="9"/>
        <v/>
      </c>
    </row>
    <row r="295" spans="1:12" x14ac:dyDescent="0.25">
      <c r="A295" s="67" t="str">
        <f>IF($B295="","",COUNT($B$7:$B295))</f>
        <v/>
      </c>
      <c r="B295" s="74"/>
      <c r="C295" s="50" t="str">
        <f>IF($B295="","",IFERROR(MATCH($B295,Quincenas!$E$7:$E$30,1),""))</f>
        <v/>
      </c>
      <c r="D295" s="50" t="str">
        <f t="shared" si="8"/>
        <v/>
      </c>
      <c r="E295" s="68"/>
      <c r="F295" s="68"/>
      <c r="G295" s="68"/>
      <c r="H295" s="51"/>
      <c r="I295" s="68"/>
      <c r="J295" s="70"/>
      <c r="K295" s="71"/>
      <c r="L295" s="75" t="str">
        <f t="shared" si="9"/>
        <v/>
      </c>
    </row>
    <row r="296" spans="1:12" x14ac:dyDescent="0.25">
      <c r="A296" s="72" t="str">
        <f>IF($B296="","",COUNT($B$7:$B296))</f>
        <v/>
      </c>
      <c r="B296" s="74"/>
      <c r="C296" s="56" t="str">
        <f>IF($B296="","",IFERROR(MATCH($B296,Quincenas!$E$7:$E$30,1),""))</f>
        <v/>
      </c>
      <c r="D296" s="56" t="str">
        <f t="shared" si="8"/>
        <v/>
      </c>
      <c r="E296" s="68"/>
      <c r="F296" s="68"/>
      <c r="G296" s="68"/>
      <c r="H296" s="51"/>
      <c r="I296" s="68"/>
      <c r="J296" s="70"/>
      <c r="K296" s="71"/>
      <c r="L296" s="76" t="str">
        <f t="shared" si="9"/>
        <v/>
      </c>
    </row>
    <row r="297" spans="1:12" x14ac:dyDescent="0.25">
      <c r="A297" s="67" t="str">
        <f>IF($B297="","",COUNT($B$7:$B297))</f>
        <v/>
      </c>
      <c r="B297" s="74"/>
      <c r="C297" s="50" t="str">
        <f>IF($B297="","",IFERROR(MATCH($B297,Quincenas!$E$7:$E$30,1),""))</f>
        <v/>
      </c>
      <c r="D297" s="50" t="str">
        <f t="shared" si="8"/>
        <v/>
      </c>
      <c r="E297" s="68"/>
      <c r="F297" s="68"/>
      <c r="G297" s="68"/>
      <c r="H297" s="51"/>
      <c r="I297" s="68"/>
      <c r="J297" s="70"/>
      <c r="K297" s="71"/>
      <c r="L297" s="75" t="str">
        <f t="shared" si="9"/>
        <v/>
      </c>
    </row>
    <row r="298" spans="1:12" x14ac:dyDescent="0.25">
      <c r="A298" s="72" t="str">
        <f>IF($B298="","",COUNT($B$7:$B298))</f>
        <v/>
      </c>
      <c r="B298" s="74"/>
      <c r="C298" s="56" t="str">
        <f>IF($B298="","",IFERROR(MATCH($B298,Quincenas!$E$7:$E$30,1),""))</f>
        <v/>
      </c>
      <c r="D298" s="56" t="str">
        <f t="shared" si="8"/>
        <v/>
      </c>
      <c r="E298" s="68"/>
      <c r="F298" s="68"/>
      <c r="G298" s="68"/>
      <c r="H298" s="51"/>
      <c r="I298" s="68"/>
      <c r="J298" s="70"/>
      <c r="K298" s="71"/>
      <c r="L298" s="76" t="str">
        <f t="shared" si="9"/>
        <v/>
      </c>
    </row>
    <row r="299" spans="1:12" x14ac:dyDescent="0.25">
      <c r="A299" s="67" t="str">
        <f>IF($B299="","",COUNT($B$7:$B299))</f>
        <v/>
      </c>
      <c r="B299" s="74"/>
      <c r="C299" s="50" t="str">
        <f>IF($B299="","",IFERROR(MATCH($B299,Quincenas!$E$7:$E$30,1),""))</f>
        <v/>
      </c>
      <c r="D299" s="50" t="str">
        <f t="shared" si="8"/>
        <v/>
      </c>
      <c r="E299" s="68"/>
      <c r="F299" s="68"/>
      <c r="G299" s="68"/>
      <c r="H299" s="51"/>
      <c r="I299" s="68"/>
      <c r="J299" s="70"/>
      <c r="K299" s="71"/>
      <c r="L299" s="75" t="str">
        <f t="shared" si="9"/>
        <v/>
      </c>
    </row>
    <row r="300" spans="1:12" x14ac:dyDescent="0.25">
      <c r="A300" s="72" t="str">
        <f>IF($B300="","",COUNT($B$7:$B300))</f>
        <v/>
      </c>
      <c r="B300" s="74"/>
      <c r="C300" s="56" t="str">
        <f>IF($B300="","",IFERROR(MATCH($B300,Quincenas!$E$7:$E$30,1),""))</f>
        <v/>
      </c>
      <c r="D300" s="56" t="str">
        <f t="shared" si="8"/>
        <v/>
      </c>
      <c r="E300" s="68"/>
      <c r="F300" s="68"/>
      <c r="G300" s="68"/>
      <c r="H300" s="51"/>
      <c r="I300" s="68"/>
      <c r="J300" s="70"/>
      <c r="K300" s="71"/>
      <c r="L300" s="76" t="str">
        <f t="shared" si="9"/>
        <v/>
      </c>
    </row>
    <row r="301" spans="1:12" x14ac:dyDescent="0.25">
      <c r="A301" s="67" t="str">
        <f>IF($B301="","",COUNT($B$7:$B301))</f>
        <v/>
      </c>
      <c r="B301" s="74"/>
      <c r="C301" s="50" t="str">
        <f>IF($B301="","",IFERROR(MATCH($B301,Quincenas!$E$7:$E$30,1),""))</f>
        <v/>
      </c>
      <c r="D301" s="50" t="str">
        <f t="shared" si="8"/>
        <v/>
      </c>
      <c r="E301" s="68"/>
      <c r="F301" s="68"/>
      <c r="G301" s="68"/>
      <c r="H301" s="51"/>
      <c r="I301" s="68"/>
      <c r="J301" s="70"/>
      <c r="K301" s="71"/>
      <c r="L301" s="75" t="str">
        <f t="shared" si="9"/>
        <v/>
      </c>
    </row>
    <row r="302" spans="1:12" x14ac:dyDescent="0.25">
      <c r="A302" s="72" t="str">
        <f>IF($B302="","",COUNT($B$7:$B302))</f>
        <v/>
      </c>
      <c r="B302" s="74"/>
      <c r="C302" s="56" t="str">
        <f>IF($B302="","",IFERROR(MATCH($B302,Quincenas!$E$7:$E$30,1),""))</f>
        <v/>
      </c>
      <c r="D302" s="56" t="str">
        <f t="shared" si="8"/>
        <v/>
      </c>
      <c r="E302" s="68"/>
      <c r="F302" s="68"/>
      <c r="G302" s="68"/>
      <c r="H302" s="51"/>
      <c r="I302" s="68"/>
      <c r="J302" s="70"/>
      <c r="K302" s="71"/>
      <c r="L302" s="76" t="str">
        <f t="shared" si="9"/>
        <v/>
      </c>
    </row>
    <row r="303" spans="1:12" x14ac:dyDescent="0.25">
      <c r="A303" s="67" t="str">
        <f>IF($B303="","",COUNT($B$7:$B303))</f>
        <v/>
      </c>
      <c r="B303" s="74"/>
      <c r="C303" s="50" t="str">
        <f>IF($B303="","",IFERROR(MATCH($B303,Quincenas!$E$7:$E$30,1),""))</f>
        <v/>
      </c>
      <c r="D303" s="50" t="str">
        <f t="shared" si="8"/>
        <v/>
      </c>
      <c r="E303" s="68"/>
      <c r="F303" s="68"/>
      <c r="G303" s="68"/>
      <c r="H303" s="51"/>
      <c r="I303" s="68"/>
      <c r="J303" s="70"/>
      <c r="K303" s="71"/>
      <c r="L303" s="75" t="str">
        <f t="shared" si="9"/>
        <v/>
      </c>
    </row>
    <row r="304" spans="1:12" x14ac:dyDescent="0.25">
      <c r="A304" s="72" t="str">
        <f>IF($B304="","",COUNT($B$7:$B304))</f>
        <v/>
      </c>
      <c r="B304" s="74"/>
      <c r="C304" s="56" t="str">
        <f>IF($B304="","",IFERROR(MATCH($B304,Quincenas!$E$7:$E$30,1),""))</f>
        <v/>
      </c>
      <c r="D304" s="56" t="str">
        <f t="shared" si="8"/>
        <v/>
      </c>
      <c r="E304" s="68"/>
      <c r="F304" s="68"/>
      <c r="G304" s="68"/>
      <c r="H304" s="51"/>
      <c r="I304" s="68"/>
      <c r="J304" s="70"/>
      <c r="K304" s="71"/>
      <c r="L304" s="76" t="str">
        <f t="shared" si="9"/>
        <v/>
      </c>
    </row>
    <row r="305" spans="1:12" x14ac:dyDescent="0.25">
      <c r="A305" s="67" t="str">
        <f>IF($B305="","",COUNT($B$7:$B305))</f>
        <v/>
      </c>
      <c r="B305" s="74"/>
      <c r="C305" s="50" t="str">
        <f>IF($B305="","",IFERROR(MATCH($B305,Quincenas!$E$7:$E$30,1),""))</f>
        <v/>
      </c>
      <c r="D305" s="50" t="str">
        <f t="shared" si="8"/>
        <v/>
      </c>
      <c r="E305" s="68"/>
      <c r="F305" s="68"/>
      <c r="G305" s="68"/>
      <c r="H305" s="51"/>
      <c r="I305" s="68"/>
      <c r="J305" s="70"/>
      <c r="K305" s="71"/>
      <c r="L305" s="75" t="str">
        <f t="shared" si="9"/>
        <v/>
      </c>
    </row>
    <row r="306" spans="1:12" x14ac:dyDescent="0.25">
      <c r="A306" s="72" t="str">
        <f>IF($B306="","",COUNT($B$7:$B306))</f>
        <v/>
      </c>
      <c r="B306" s="74"/>
      <c r="C306" s="56" t="str">
        <f>IF($B306="","",IFERROR(MATCH($B306,Quincenas!$E$7:$E$30,1),""))</f>
        <v/>
      </c>
      <c r="D306" s="56" t="str">
        <f t="shared" si="8"/>
        <v/>
      </c>
      <c r="E306" s="68"/>
      <c r="F306" s="68"/>
      <c r="G306" s="68"/>
      <c r="H306" s="51"/>
      <c r="I306" s="68"/>
      <c r="J306" s="70"/>
      <c r="K306" s="71"/>
      <c r="L306" s="76" t="str">
        <f t="shared" si="9"/>
        <v/>
      </c>
    </row>
    <row r="307" spans="1:12" x14ac:dyDescent="0.25">
      <c r="A307" s="67" t="str">
        <f>IF($B307="","",COUNT($B$7:$B307))</f>
        <v/>
      </c>
      <c r="B307" s="74"/>
      <c r="C307" s="50" t="str">
        <f>IF($B307="","",IFERROR(MATCH($B307,Quincenas!$E$7:$E$30,1),""))</f>
        <v/>
      </c>
      <c r="D307" s="50" t="str">
        <f t="shared" si="8"/>
        <v/>
      </c>
      <c r="E307" s="68"/>
      <c r="F307" s="68"/>
      <c r="G307" s="68"/>
      <c r="H307" s="51"/>
      <c r="I307" s="68"/>
      <c r="J307" s="70"/>
      <c r="K307" s="71"/>
      <c r="L307" s="75" t="str">
        <f t="shared" si="9"/>
        <v/>
      </c>
    </row>
    <row r="308" spans="1:12" x14ac:dyDescent="0.25">
      <c r="A308" s="72" t="str">
        <f>IF($B308="","",COUNT($B$7:$B308))</f>
        <v/>
      </c>
      <c r="B308" s="74"/>
      <c r="C308" s="56" t="str">
        <f>IF($B308="","",IFERROR(MATCH($B308,Quincenas!$E$7:$E$30,1),""))</f>
        <v/>
      </c>
      <c r="D308" s="56" t="str">
        <f t="shared" si="8"/>
        <v/>
      </c>
      <c r="E308" s="68"/>
      <c r="F308" s="68"/>
      <c r="G308" s="68"/>
      <c r="H308" s="51"/>
      <c r="I308" s="68"/>
      <c r="J308" s="70"/>
      <c r="K308" s="71"/>
      <c r="L308" s="76" t="str">
        <f t="shared" si="9"/>
        <v/>
      </c>
    </row>
    <row r="309" spans="1:12" x14ac:dyDescent="0.25">
      <c r="A309" s="67" t="str">
        <f>IF($B309="","",COUNT($B$7:$B309))</f>
        <v/>
      </c>
      <c r="B309" s="74"/>
      <c r="C309" s="50" t="str">
        <f>IF($B309="","",IFERROR(MATCH($B309,Quincenas!$E$7:$E$30,1),""))</f>
        <v/>
      </c>
      <c r="D309" s="50" t="str">
        <f t="shared" si="8"/>
        <v/>
      </c>
      <c r="E309" s="68"/>
      <c r="F309" s="68"/>
      <c r="G309" s="68"/>
      <c r="H309" s="51"/>
      <c r="I309" s="68"/>
      <c r="J309" s="70"/>
      <c r="K309" s="71"/>
      <c r="L309" s="75" t="str">
        <f t="shared" si="9"/>
        <v/>
      </c>
    </row>
    <row r="310" spans="1:12" x14ac:dyDescent="0.25">
      <c r="A310" s="72" t="str">
        <f>IF($B310="","",COUNT($B$7:$B310))</f>
        <v/>
      </c>
      <c r="B310" s="74"/>
      <c r="C310" s="56" t="str">
        <f>IF($B310="","",IFERROR(MATCH($B310,Quincenas!$E$7:$E$30,1),""))</f>
        <v/>
      </c>
      <c r="D310" s="56" t="str">
        <f t="shared" si="8"/>
        <v/>
      </c>
      <c r="E310" s="68"/>
      <c r="F310" s="68"/>
      <c r="G310" s="68"/>
      <c r="H310" s="51"/>
      <c r="I310" s="68"/>
      <c r="J310" s="70"/>
      <c r="K310" s="71"/>
      <c r="L310" s="76" t="str">
        <f t="shared" si="9"/>
        <v/>
      </c>
    </row>
    <row r="311" spans="1:12" x14ac:dyDescent="0.25">
      <c r="A311" s="67" t="str">
        <f>IF($B311="","",COUNT($B$7:$B311))</f>
        <v/>
      </c>
      <c r="B311" s="74"/>
      <c r="C311" s="50" t="str">
        <f>IF($B311="","",IFERROR(MATCH($B311,Quincenas!$E$7:$E$30,1),""))</f>
        <v/>
      </c>
      <c r="D311" s="50" t="str">
        <f t="shared" si="8"/>
        <v/>
      </c>
      <c r="E311" s="68"/>
      <c r="F311" s="68"/>
      <c r="G311" s="68"/>
      <c r="H311" s="51"/>
      <c r="I311" s="68"/>
      <c r="J311" s="70"/>
      <c r="K311" s="71"/>
      <c r="L311" s="75" t="str">
        <f t="shared" si="9"/>
        <v/>
      </c>
    </row>
    <row r="312" spans="1:12" x14ac:dyDescent="0.25">
      <c r="A312" s="72" t="str">
        <f>IF($B312="","",COUNT($B$7:$B312))</f>
        <v/>
      </c>
      <c r="B312" s="74"/>
      <c r="C312" s="56" t="str">
        <f>IF($B312="","",IFERROR(MATCH($B312,Quincenas!$E$7:$E$30,1),""))</f>
        <v/>
      </c>
      <c r="D312" s="56" t="str">
        <f t="shared" si="8"/>
        <v/>
      </c>
      <c r="E312" s="68"/>
      <c r="F312" s="68"/>
      <c r="G312" s="68"/>
      <c r="H312" s="51"/>
      <c r="I312" s="68"/>
      <c r="J312" s="70"/>
      <c r="K312" s="71"/>
      <c r="L312" s="76" t="str">
        <f t="shared" si="9"/>
        <v/>
      </c>
    </row>
    <row r="313" spans="1:12" x14ac:dyDescent="0.25">
      <c r="A313" s="67" t="str">
        <f>IF($B313="","",COUNT($B$7:$B313))</f>
        <v/>
      </c>
      <c r="B313" s="74"/>
      <c r="C313" s="50" t="str">
        <f>IF($B313="","",IFERROR(MATCH($B313,Quincenas!$E$7:$E$30,1),""))</f>
        <v/>
      </c>
      <c r="D313" s="50" t="str">
        <f t="shared" si="8"/>
        <v/>
      </c>
      <c r="E313" s="68"/>
      <c r="F313" s="68"/>
      <c r="G313" s="68"/>
      <c r="H313" s="51"/>
      <c r="I313" s="68"/>
      <c r="J313" s="70"/>
      <c r="K313" s="71"/>
      <c r="L313" s="75" t="str">
        <f t="shared" si="9"/>
        <v/>
      </c>
    </row>
    <row r="314" spans="1:12" x14ac:dyDescent="0.25">
      <c r="A314" s="72" t="str">
        <f>IF($B314="","",COUNT($B$7:$B314))</f>
        <v/>
      </c>
      <c r="B314" s="74"/>
      <c r="C314" s="56" t="str">
        <f>IF($B314="","",IFERROR(MATCH($B314,Quincenas!$E$7:$E$30,1),""))</f>
        <v/>
      </c>
      <c r="D314" s="56" t="str">
        <f t="shared" si="8"/>
        <v/>
      </c>
      <c r="E314" s="68"/>
      <c r="F314" s="68"/>
      <c r="G314" s="68"/>
      <c r="H314" s="51"/>
      <c r="I314" s="68"/>
      <c r="J314" s="70"/>
      <c r="K314" s="71"/>
      <c r="L314" s="76" t="str">
        <f t="shared" si="9"/>
        <v/>
      </c>
    </row>
    <row r="315" spans="1:12" x14ac:dyDescent="0.25">
      <c r="A315" s="67" t="str">
        <f>IF($B315="","",COUNT($B$7:$B315))</f>
        <v/>
      </c>
      <c r="B315" s="74"/>
      <c r="C315" s="50" t="str">
        <f>IF($B315="","",IFERROR(MATCH($B315,Quincenas!$E$7:$E$30,1),""))</f>
        <v/>
      </c>
      <c r="D315" s="50" t="str">
        <f t="shared" si="8"/>
        <v/>
      </c>
      <c r="E315" s="68"/>
      <c r="F315" s="68"/>
      <c r="G315" s="68"/>
      <c r="H315" s="51"/>
      <c r="I315" s="68"/>
      <c r="J315" s="70"/>
      <c r="K315" s="71"/>
      <c r="L315" s="75" t="str">
        <f t="shared" si="9"/>
        <v/>
      </c>
    </row>
    <row r="316" spans="1:12" x14ac:dyDescent="0.25">
      <c r="A316" s="72" t="str">
        <f>IF($B316="","",COUNT($B$7:$B316))</f>
        <v/>
      </c>
      <c r="B316" s="74"/>
      <c r="C316" s="56" t="str">
        <f>IF($B316="","",IFERROR(MATCH($B316,Quincenas!$E$7:$E$30,1),""))</f>
        <v/>
      </c>
      <c r="D316" s="56" t="str">
        <f t="shared" si="8"/>
        <v/>
      </c>
      <c r="E316" s="68"/>
      <c r="F316" s="68"/>
      <c r="G316" s="68"/>
      <c r="H316" s="51"/>
      <c r="I316" s="68"/>
      <c r="J316" s="70"/>
      <c r="K316" s="71"/>
      <c r="L316" s="76" t="str">
        <f t="shared" si="9"/>
        <v/>
      </c>
    </row>
    <row r="317" spans="1:12" x14ac:dyDescent="0.25">
      <c r="A317" s="67" t="str">
        <f>IF($B317="","",COUNT($B$7:$B317))</f>
        <v/>
      </c>
      <c r="B317" s="74"/>
      <c r="C317" s="50" t="str">
        <f>IF($B317="","",IFERROR(MATCH($B317,Quincenas!$E$7:$E$30,1),""))</f>
        <v/>
      </c>
      <c r="D317" s="50" t="str">
        <f t="shared" si="8"/>
        <v/>
      </c>
      <c r="E317" s="68"/>
      <c r="F317" s="68"/>
      <c r="G317" s="68"/>
      <c r="H317" s="51"/>
      <c r="I317" s="68"/>
      <c r="J317" s="70"/>
      <c r="K317" s="71"/>
      <c r="L317" s="75" t="str">
        <f t="shared" si="9"/>
        <v/>
      </c>
    </row>
    <row r="318" spans="1:12" x14ac:dyDescent="0.25">
      <c r="A318" s="72" t="str">
        <f>IF($B318="","",COUNT($B$7:$B318))</f>
        <v/>
      </c>
      <c r="B318" s="74"/>
      <c r="C318" s="56" t="str">
        <f>IF($B318="","",IFERROR(MATCH($B318,Quincenas!$E$7:$E$30,1),""))</f>
        <v/>
      </c>
      <c r="D318" s="56" t="str">
        <f t="shared" si="8"/>
        <v/>
      </c>
      <c r="E318" s="68"/>
      <c r="F318" s="68"/>
      <c r="G318" s="68"/>
      <c r="H318" s="51"/>
      <c r="I318" s="68"/>
      <c r="J318" s="70"/>
      <c r="K318" s="71"/>
      <c r="L318" s="76" t="str">
        <f t="shared" si="9"/>
        <v/>
      </c>
    </row>
    <row r="319" spans="1:12" x14ac:dyDescent="0.25">
      <c r="A319" s="67" t="str">
        <f>IF($B319="","",COUNT($B$7:$B319))</f>
        <v/>
      </c>
      <c r="B319" s="74"/>
      <c r="C319" s="50" t="str">
        <f>IF($B319="","",IFERROR(MATCH($B319,Quincenas!$E$7:$E$30,1),""))</f>
        <v/>
      </c>
      <c r="D319" s="50" t="str">
        <f t="shared" si="8"/>
        <v/>
      </c>
      <c r="E319" s="68"/>
      <c r="F319" s="68"/>
      <c r="G319" s="68"/>
      <c r="H319" s="51"/>
      <c r="I319" s="68"/>
      <c r="J319" s="70"/>
      <c r="K319" s="71"/>
      <c r="L319" s="75" t="str">
        <f t="shared" si="9"/>
        <v/>
      </c>
    </row>
    <row r="320" spans="1:12" x14ac:dyDescent="0.25">
      <c r="A320" s="72" t="str">
        <f>IF($B320="","",COUNT($B$7:$B320))</f>
        <v/>
      </c>
      <c r="B320" s="74"/>
      <c r="C320" s="56" t="str">
        <f>IF($B320="","",IFERROR(MATCH($B320,Quincenas!$E$7:$E$30,1),""))</f>
        <v/>
      </c>
      <c r="D320" s="56" t="str">
        <f t="shared" si="8"/>
        <v/>
      </c>
      <c r="E320" s="68"/>
      <c r="F320" s="68"/>
      <c r="G320" s="68"/>
      <c r="H320" s="51"/>
      <c r="I320" s="68"/>
      <c r="J320" s="70"/>
      <c r="K320" s="71"/>
      <c r="L320" s="76" t="str">
        <f t="shared" si="9"/>
        <v/>
      </c>
    </row>
    <row r="321" spans="1:12" x14ac:dyDescent="0.25">
      <c r="A321" s="67" t="str">
        <f>IF($B321="","",COUNT($B$7:$B321))</f>
        <v/>
      </c>
      <c r="B321" s="74"/>
      <c r="C321" s="50" t="str">
        <f>IF($B321="","",IFERROR(MATCH($B321,Quincenas!$E$7:$E$30,1),""))</f>
        <v/>
      </c>
      <c r="D321" s="50" t="str">
        <f t="shared" si="8"/>
        <v/>
      </c>
      <c r="E321" s="68"/>
      <c r="F321" s="68"/>
      <c r="G321" s="68"/>
      <c r="H321" s="51"/>
      <c r="I321" s="68"/>
      <c r="J321" s="70"/>
      <c r="K321" s="71"/>
      <c r="L321" s="75" t="str">
        <f t="shared" si="9"/>
        <v/>
      </c>
    </row>
    <row r="322" spans="1:12" x14ac:dyDescent="0.25">
      <c r="A322" s="72" t="str">
        <f>IF($B322="","",COUNT($B$7:$B322))</f>
        <v/>
      </c>
      <c r="B322" s="74"/>
      <c r="C322" s="56" t="str">
        <f>IF($B322="","",IFERROR(MATCH($B322,Quincenas!$E$7:$E$30,1),""))</f>
        <v/>
      </c>
      <c r="D322" s="56" t="str">
        <f t="shared" si="8"/>
        <v/>
      </c>
      <c r="E322" s="68"/>
      <c r="F322" s="68"/>
      <c r="G322" s="68"/>
      <c r="H322" s="51"/>
      <c r="I322" s="68"/>
      <c r="J322" s="70"/>
      <c r="K322" s="71"/>
      <c r="L322" s="76" t="str">
        <f t="shared" si="9"/>
        <v/>
      </c>
    </row>
    <row r="323" spans="1:12" x14ac:dyDescent="0.25">
      <c r="A323" s="67" t="str">
        <f>IF($B323="","",COUNT($B$7:$B323))</f>
        <v/>
      </c>
      <c r="B323" s="74"/>
      <c r="C323" s="50" t="str">
        <f>IF($B323="","",IFERROR(MATCH($B323,Quincenas!$E$7:$E$30,1),""))</f>
        <v/>
      </c>
      <c r="D323" s="50" t="str">
        <f t="shared" ref="D323:D386" si="10">IF($B323="","",MONTH($B323))</f>
        <v/>
      </c>
      <c r="E323" s="68"/>
      <c r="F323" s="68"/>
      <c r="G323" s="68"/>
      <c r="H323" s="51"/>
      <c r="I323" s="68"/>
      <c r="J323" s="70"/>
      <c r="K323" s="71"/>
      <c r="L323" s="75" t="str">
        <f t="shared" ref="L323:L386" si="11">IF($B323="","",IF($C323="","La fecha está fuera del año configurado",IF($E323="","Falta indicar el tipo",IF($H323="","Falta el monto",IF($F323="","Falta la categoría",IF(AND($E323="Fijo",COUNTIF(Fijos_Concepto,$G323)=0),"El concepto no existe en la hoja Fijos",IF($J323="Pendiente","Movimiento pendiente de pago","OK")))))))</f>
        <v/>
      </c>
    </row>
    <row r="324" spans="1:12" x14ac:dyDescent="0.25">
      <c r="A324" s="72" t="str">
        <f>IF($B324="","",COUNT($B$7:$B324))</f>
        <v/>
      </c>
      <c r="B324" s="74"/>
      <c r="C324" s="56" t="str">
        <f>IF($B324="","",IFERROR(MATCH($B324,Quincenas!$E$7:$E$30,1),""))</f>
        <v/>
      </c>
      <c r="D324" s="56" t="str">
        <f t="shared" si="10"/>
        <v/>
      </c>
      <c r="E324" s="68"/>
      <c r="F324" s="68"/>
      <c r="G324" s="68"/>
      <c r="H324" s="51"/>
      <c r="I324" s="68"/>
      <c r="J324" s="70"/>
      <c r="K324" s="71"/>
      <c r="L324" s="76" t="str">
        <f t="shared" si="11"/>
        <v/>
      </c>
    </row>
    <row r="325" spans="1:12" x14ac:dyDescent="0.25">
      <c r="A325" s="67" t="str">
        <f>IF($B325="","",COUNT($B$7:$B325))</f>
        <v/>
      </c>
      <c r="B325" s="74"/>
      <c r="C325" s="50" t="str">
        <f>IF($B325="","",IFERROR(MATCH($B325,Quincenas!$E$7:$E$30,1),""))</f>
        <v/>
      </c>
      <c r="D325" s="50" t="str">
        <f t="shared" si="10"/>
        <v/>
      </c>
      <c r="E325" s="68"/>
      <c r="F325" s="68"/>
      <c r="G325" s="68"/>
      <c r="H325" s="51"/>
      <c r="I325" s="68"/>
      <c r="J325" s="70"/>
      <c r="K325" s="71"/>
      <c r="L325" s="75" t="str">
        <f t="shared" si="11"/>
        <v/>
      </c>
    </row>
    <row r="326" spans="1:12" x14ac:dyDescent="0.25">
      <c r="A326" s="72" t="str">
        <f>IF($B326="","",COUNT($B$7:$B326))</f>
        <v/>
      </c>
      <c r="B326" s="74"/>
      <c r="C326" s="56" t="str">
        <f>IF($B326="","",IFERROR(MATCH($B326,Quincenas!$E$7:$E$30,1),""))</f>
        <v/>
      </c>
      <c r="D326" s="56" t="str">
        <f t="shared" si="10"/>
        <v/>
      </c>
      <c r="E326" s="68"/>
      <c r="F326" s="68"/>
      <c r="G326" s="68"/>
      <c r="H326" s="51"/>
      <c r="I326" s="68"/>
      <c r="J326" s="70"/>
      <c r="K326" s="71"/>
      <c r="L326" s="76" t="str">
        <f t="shared" si="11"/>
        <v/>
      </c>
    </row>
    <row r="327" spans="1:12" x14ac:dyDescent="0.25">
      <c r="A327" s="67" t="str">
        <f>IF($B327="","",COUNT($B$7:$B327))</f>
        <v/>
      </c>
      <c r="B327" s="74"/>
      <c r="C327" s="50" t="str">
        <f>IF($B327="","",IFERROR(MATCH($B327,Quincenas!$E$7:$E$30,1),""))</f>
        <v/>
      </c>
      <c r="D327" s="50" t="str">
        <f t="shared" si="10"/>
        <v/>
      </c>
      <c r="E327" s="68"/>
      <c r="F327" s="68"/>
      <c r="G327" s="68"/>
      <c r="H327" s="51"/>
      <c r="I327" s="68"/>
      <c r="J327" s="70"/>
      <c r="K327" s="71"/>
      <c r="L327" s="75" t="str">
        <f t="shared" si="11"/>
        <v/>
      </c>
    </row>
    <row r="328" spans="1:12" x14ac:dyDescent="0.25">
      <c r="A328" s="72" t="str">
        <f>IF($B328="","",COUNT($B$7:$B328))</f>
        <v/>
      </c>
      <c r="B328" s="74"/>
      <c r="C328" s="56" t="str">
        <f>IF($B328="","",IFERROR(MATCH($B328,Quincenas!$E$7:$E$30,1),""))</f>
        <v/>
      </c>
      <c r="D328" s="56" t="str">
        <f t="shared" si="10"/>
        <v/>
      </c>
      <c r="E328" s="68"/>
      <c r="F328" s="68"/>
      <c r="G328" s="68"/>
      <c r="H328" s="51"/>
      <c r="I328" s="68"/>
      <c r="J328" s="70"/>
      <c r="K328" s="71"/>
      <c r="L328" s="76" t="str">
        <f t="shared" si="11"/>
        <v/>
      </c>
    </row>
    <row r="329" spans="1:12" x14ac:dyDescent="0.25">
      <c r="A329" s="67" t="str">
        <f>IF($B329="","",COUNT($B$7:$B329))</f>
        <v/>
      </c>
      <c r="B329" s="74"/>
      <c r="C329" s="50" t="str">
        <f>IF($B329="","",IFERROR(MATCH($B329,Quincenas!$E$7:$E$30,1),""))</f>
        <v/>
      </c>
      <c r="D329" s="50" t="str">
        <f t="shared" si="10"/>
        <v/>
      </c>
      <c r="E329" s="68"/>
      <c r="F329" s="68"/>
      <c r="G329" s="68"/>
      <c r="H329" s="51"/>
      <c r="I329" s="68"/>
      <c r="J329" s="70"/>
      <c r="K329" s="71"/>
      <c r="L329" s="75" t="str">
        <f t="shared" si="11"/>
        <v/>
      </c>
    </row>
    <row r="330" spans="1:12" x14ac:dyDescent="0.25">
      <c r="A330" s="72" t="str">
        <f>IF($B330="","",COUNT($B$7:$B330))</f>
        <v/>
      </c>
      <c r="B330" s="74"/>
      <c r="C330" s="56" t="str">
        <f>IF($B330="","",IFERROR(MATCH($B330,Quincenas!$E$7:$E$30,1),""))</f>
        <v/>
      </c>
      <c r="D330" s="56" t="str">
        <f t="shared" si="10"/>
        <v/>
      </c>
      <c r="E330" s="68"/>
      <c r="F330" s="68"/>
      <c r="G330" s="68"/>
      <c r="H330" s="51"/>
      <c r="I330" s="68"/>
      <c r="J330" s="70"/>
      <c r="K330" s="71"/>
      <c r="L330" s="76" t="str">
        <f t="shared" si="11"/>
        <v/>
      </c>
    </row>
    <row r="331" spans="1:12" x14ac:dyDescent="0.25">
      <c r="A331" s="67" t="str">
        <f>IF($B331="","",COUNT($B$7:$B331))</f>
        <v/>
      </c>
      <c r="B331" s="74"/>
      <c r="C331" s="50" t="str">
        <f>IF($B331="","",IFERROR(MATCH($B331,Quincenas!$E$7:$E$30,1),""))</f>
        <v/>
      </c>
      <c r="D331" s="50" t="str">
        <f t="shared" si="10"/>
        <v/>
      </c>
      <c r="E331" s="68"/>
      <c r="F331" s="68"/>
      <c r="G331" s="68"/>
      <c r="H331" s="51"/>
      <c r="I331" s="68"/>
      <c r="J331" s="70"/>
      <c r="K331" s="71"/>
      <c r="L331" s="75" t="str">
        <f t="shared" si="11"/>
        <v/>
      </c>
    </row>
    <row r="332" spans="1:12" x14ac:dyDescent="0.25">
      <c r="A332" s="72" t="str">
        <f>IF($B332="","",COUNT($B$7:$B332))</f>
        <v/>
      </c>
      <c r="B332" s="74"/>
      <c r="C332" s="56" t="str">
        <f>IF($B332="","",IFERROR(MATCH($B332,Quincenas!$E$7:$E$30,1),""))</f>
        <v/>
      </c>
      <c r="D332" s="56" t="str">
        <f t="shared" si="10"/>
        <v/>
      </c>
      <c r="E332" s="68"/>
      <c r="F332" s="68"/>
      <c r="G332" s="68"/>
      <c r="H332" s="51"/>
      <c r="I332" s="68"/>
      <c r="J332" s="70"/>
      <c r="K332" s="71"/>
      <c r="L332" s="76" t="str">
        <f t="shared" si="11"/>
        <v/>
      </c>
    </row>
    <row r="333" spans="1:12" x14ac:dyDescent="0.25">
      <c r="A333" s="67" t="str">
        <f>IF($B333="","",COUNT($B$7:$B333))</f>
        <v/>
      </c>
      <c r="B333" s="74"/>
      <c r="C333" s="50" t="str">
        <f>IF($B333="","",IFERROR(MATCH($B333,Quincenas!$E$7:$E$30,1),""))</f>
        <v/>
      </c>
      <c r="D333" s="50" t="str">
        <f t="shared" si="10"/>
        <v/>
      </c>
      <c r="E333" s="68"/>
      <c r="F333" s="68"/>
      <c r="G333" s="68"/>
      <c r="H333" s="51"/>
      <c r="I333" s="68"/>
      <c r="J333" s="70"/>
      <c r="K333" s="71"/>
      <c r="L333" s="75" t="str">
        <f t="shared" si="11"/>
        <v/>
      </c>
    </row>
    <row r="334" spans="1:12" x14ac:dyDescent="0.25">
      <c r="A334" s="72" t="str">
        <f>IF($B334="","",COUNT($B$7:$B334))</f>
        <v/>
      </c>
      <c r="B334" s="74"/>
      <c r="C334" s="56" t="str">
        <f>IF($B334="","",IFERROR(MATCH($B334,Quincenas!$E$7:$E$30,1),""))</f>
        <v/>
      </c>
      <c r="D334" s="56" t="str">
        <f t="shared" si="10"/>
        <v/>
      </c>
      <c r="E334" s="68"/>
      <c r="F334" s="68"/>
      <c r="G334" s="68"/>
      <c r="H334" s="51"/>
      <c r="I334" s="68"/>
      <c r="J334" s="70"/>
      <c r="K334" s="71"/>
      <c r="L334" s="76" t="str">
        <f t="shared" si="11"/>
        <v/>
      </c>
    </row>
    <row r="335" spans="1:12" x14ac:dyDescent="0.25">
      <c r="A335" s="67" t="str">
        <f>IF($B335="","",COUNT($B$7:$B335))</f>
        <v/>
      </c>
      <c r="B335" s="74"/>
      <c r="C335" s="50" t="str">
        <f>IF($B335="","",IFERROR(MATCH($B335,Quincenas!$E$7:$E$30,1),""))</f>
        <v/>
      </c>
      <c r="D335" s="50" t="str">
        <f t="shared" si="10"/>
        <v/>
      </c>
      <c r="E335" s="68"/>
      <c r="F335" s="68"/>
      <c r="G335" s="68"/>
      <c r="H335" s="51"/>
      <c r="I335" s="68"/>
      <c r="J335" s="70"/>
      <c r="K335" s="71"/>
      <c r="L335" s="75" t="str">
        <f t="shared" si="11"/>
        <v/>
      </c>
    </row>
    <row r="336" spans="1:12" x14ac:dyDescent="0.25">
      <c r="A336" s="72" t="str">
        <f>IF($B336="","",COUNT($B$7:$B336))</f>
        <v/>
      </c>
      <c r="B336" s="74"/>
      <c r="C336" s="56" t="str">
        <f>IF($B336="","",IFERROR(MATCH($B336,Quincenas!$E$7:$E$30,1),""))</f>
        <v/>
      </c>
      <c r="D336" s="56" t="str">
        <f t="shared" si="10"/>
        <v/>
      </c>
      <c r="E336" s="68"/>
      <c r="F336" s="68"/>
      <c r="G336" s="68"/>
      <c r="H336" s="51"/>
      <c r="I336" s="68"/>
      <c r="J336" s="70"/>
      <c r="K336" s="71"/>
      <c r="L336" s="76" t="str">
        <f t="shared" si="11"/>
        <v/>
      </c>
    </row>
    <row r="337" spans="1:12" x14ac:dyDescent="0.25">
      <c r="A337" s="67" t="str">
        <f>IF($B337="","",COUNT($B$7:$B337))</f>
        <v/>
      </c>
      <c r="B337" s="74"/>
      <c r="C337" s="50" t="str">
        <f>IF($B337="","",IFERROR(MATCH($B337,Quincenas!$E$7:$E$30,1),""))</f>
        <v/>
      </c>
      <c r="D337" s="50" t="str">
        <f t="shared" si="10"/>
        <v/>
      </c>
      <c r="E337" s="68"/>
      <c r="F337" s="68"/>
      <c r="G337" s="68"/>
      <c r="H337" s="51"/>
      <c r="I337" s="68"/>
      <c r="J337" s="70"/>
      <c r="K337" s="71"/>
      <c r="L337" s="75" t="str">
        <f t="shared" si="11"/>
        <v/>
      </c>
    </row>
    <row r="338" spans="1:12" x14ac:dyDescent="0.25">
      <c r="A338" s="72" t="str">
        <f>IF($B338="","",COUNT($B$7:$B338))</f>
        <v/>
      </c>
      <c r="B338" s="74"/>
      <c r="C338" s="56" t="str">
        <f>IF($B338="","",IFERROR(MATCH($B338,Quincenas!$E$7:$E$30,1),""))</f>
        <v/>
      </c>
      <c r="D338" s="56" t="str">
        <f t="shared" si="10"/>
        <v/>
      </c>
      <c r="E338" s="68"/>
      <c r="F338" s="68"/>
      <c r="G338" s="68"/>
      <c r="H338" s="51"/>
      <c r="I338" s="68"/>
      <c r="J338" s="70"/>
      <c r="K338" s="71"/>
      <c r="L338" s="76" t="str">
        <f t="shared" si="11"/>
        <v/>
      </c>
    </row>
    <row r="339" spans="1:12" x14ac:dyDescent="0.25">
      <c r="A339" s="67" t="str">
        <f>IF($B339="","",COUNT($B$7:$B339))</f>
        <v/>
      </c>
      <c r="B339" s="74"/>
      <c r="C339" s="50" t="str">
        <f>IF($B339="","",IFERROR(MATCH($B339,Quincenas!$E$7:$E$30,1),""))</f>
        <v/>
      </c>
      <c r="D339" s="50" t="str">
        <f t="shared" si="10"/>
        <v/>
      </c>
      <c r="E339" s="68"/>
      <c r="F339" s="68"/>
      <c r="G339" s="68"/>
      <c r="H339" s="51"/>
      <c r="I339" s="68"/>
      <c r="J339" s="70"/>
      <c r="K339" s="71"/>
      <c r="L339" s="75" t="str">
        <f t="shared" si="11"/>
        <v/>
      </c>
    </row>
    <row r="340" spans="1:12" x14ac:dyDescent="0.25">
      <c r="A340" s="72" t="str">
        <f>IF($B340="","",COUNT($B$7:$B340))</f>
        <v/>
      </c>
      <c r="B340" s="74"/>
      <c r="C340" s="56" t="str">
        <f>IF($B340="","",IFERROR(MATCH($B340,Quincenas!$E$7:$E$30,1),""))</f>
        <v/>
      </c>
      <c r="D340" s="56" t="str">
        <f t="shared" si="10"/>
        <v/>
      </c>
      <c r="E340" s="68"/>
      <c r="F340" s="68"/>
      <c r="G340" s="68"/>
      <c r="H340" s="51"/>
      <c r="I340" s="68"/>
      <c r="J340" s="70"/>
      <c r="K340" s="71"/>
      <c r="L340" s="76" t="str">
        <f t="shared" si="11"/>
        <v/>
      </c>
    </row>
    <row r="341" spans="1:12" x14ac:dyDescent="0.25">
      <c r="A341" s="67" t="str">
        <f>IF($B341="","",COUNT($B$7:$B341))</f>
        <v/>
      </c>
      <c r="B341" s="74"/>
      <c r="C341" s="50" t="str">
        <f>IF($B341="","",IFERROR(MATCH($B341,Quincenas!$E$7:$E$30,1),""))</f>
        <v/>
      </c>
      <c r="D341" s="50" t="str">
        <f t="shared" si="10"/>
        <v/>
      </c>
      <c r="E341" s="68"/>
      <c r="F341" s="68"/>
      <c r="G341" s="68"/>
      <c r="H341" s="51"/>
      <c r="I341" s="68"/>
      <c r="J341" s="70"/>
      <c r="K341" s="71"/>
      <c r="L341" s="75" t="str">
        <f t="shared" si="11"/>
        <v/>
      </c>
    </row>
    <row r="342" spans="1:12" x14ac:dyDescent="0.25">
      <c r="A342" s="72" t="str">
        <f>IF($B342="","",COUNT($B$7:$B342))</f>
        <v/>
      </c>
      <c r="B342" s="74"/>
      <c r="C342" s="56" t="str">
        <f>IF($B342="","",IFERROR(MATCH($B342,Quincenas!$E$7:$E$30,1),""))</f>
        <v/>
      </c>
      <c r="D342" s="56" t="str">
        <f t="shared" si="10"/>
        <v/>
      </c>
      <c r="E342" s="68"/>
      <c r="F342" s="68"/>
      <c r="G342" s="68"/>
      <c r="H342" s="51"/>
      <c r="I342" s="68"/>
      <c r="J342" s="70"/>
      <c r="K342" s="71"/>
      <c r="L342" s="76" t="str">
        <f t="shared" si="11"/>
        <v/>
      </c>
    </row>
    <row r="343" spans="1:12" x14ac:dyDescent="0.25">
      <c r="A343" s="67" t="str">
        <f>IF($B343="","",COUNT($B$7:$B343))</f>
        <v/>
      </c>
      <c r="B343" s="74"/>
      <c r="C343" s="50" t="str">
        <f>IF($B343="","",IFERROR(MATCH($B343,Quincenas!$E$7:$E$30,1),""))</f>
        <v/>
      </c>
      <c r="D343" s="50" t="str">
        <f t="shared" si="10"/>
        <v/>
      </c>
      <c r="E343" s="68"/>
      <c r="F343" s="68"/>
      <c r="G343" s="68"/>
      <c r="H343" s="51"/>
      <c r="I343" s="68"/>
      <c r="J343" s="70"/>
      <c r="K343" s="71"/>
      <c r="L343" s="75" t="str">
        <f t="shared" si="11"/>
        <v/>
      </c>
    </row>
    <row r="344" spans="1:12" x14ac:dyDescent="0.25">
      <c r="A344" s="72" t="str">
        <f>IF($B344="","",COUNT($B$7:$B344))</f>
        <v/>
      </c>
      <c r="B344" s="74"/>
      <c r="C344" s="56" t="str">
        <f>IF($B344="","",IFERROR(MATCH($B344,Quincenas!$E$7:$E$30,1),""))</f>
        <v/>
      </c>
      <c r="D344" s="56" t="str">
        <f t="shared" si="10"/>
        <v/>
      </c>
      <c r="E344" s="68"/>
      <c r="F344" s="68"/>
      <c r="G344" s="68"/>
      <c r="H344" s="51"/>
      <c r="I344" s="68"/>
      <c r="J344" s="70"/>
      <c r="K344" s="71"/>
      <c r="L344" s="76" t="str">
        <f t="shared" si="11"/>
        <v/>
      </c>
    </row>
    <row r="345" spans="1:12" x14ac:dyDescent="0.25">
      <c r="A345" s="67" t="str">
        <f>IF($B345="","",COUNT($B$7:$B345))</f>
        <v/>
      </c>
      <c r="B345" s="74"/>
      <c r="C345" s="50" t="str">
        <f>IF($B345="","",IFERROR(MATCH($B345,Quincenas!$E$7:$E$30,1),""))</f>
        <v/>
      </c>
      <c r="D345" s="50" t="str">
        <f t="shared" si="10"/>
        <v/>
      </c>
      <c r="E345" s="68"/>
      <c r="F345" s="68"/>
      <c r="G345" s="68"/>
      <c r="H345" s="51"/>
      <c r="I345" s="68"/>
      <c r="J345" s="70"/>
      <c r="K345" s="71"/>
      <c r="L345" s="75" t="str">
        <f t="shared" si="11"/>
        <v/>
      </c>
    </row>
    <row r="346" spans="1:12" x14ac:dyDescent="0.25">
      <c r="A346" s="72" t="str">
        <f>IF($B346="","",COUNT($B$7:$B346))</f>
        <v/>
      </c>
      <c r="B346" s="74"/>
      <c r="C346" s="56" t="str">
        <f>IF($B346="","",IFERROR(MATCH($B346,Quincenas!$E$7:$E$30,1),""))</f>
        <v/>
      </c>
      <c r="D346" s="56" t="str">
        <f t="shared" si="10"/>
        <v/>
      </c>
      <c r="E346" s="68"/>
      <c r="F346" s="68"/>
      <c r="G346" s="68"/>
      <c r="H346" s="51"/>
      <c r="I346" s="68"/>
      <c r="J346" s="70"/>
      <c r="K346" s="71"/>
      <c r="L346" s="76" t="str">
        <f t="shared" si="11"/>
        <v/>
      </c>
    </row>
    <row r="347" spans="1:12" x14ac:dyDescent="0.25">
      <c r="A347" s="67" t="str">
        <f>IF($B347="","",COUNT($B$7:$B347))</f>
        <v/>
      </c>
      <c r="B347" s="74"/>
      <c r="C347" s="50" t="str">
        <f>IF($B347="","",IFERROR(MATCH($B347,Quincenas!$E$7:$E$30,1),""))</f>
        <v/>
      </c>
      <c r="D347" s="50" t="str">
        <f t="shared" si="10"/>
        <v/>
      </c>
      <c r="E347" s="68"/>
      <c r="F347" s="68"/>
      <c r="G347" s="68"/>
      <c r="H347" s="51"/>
      <c r="I347" s="68"/>
      <c r="J347" s="70"/>
      <c r="K347" s="71"/>
      <c r="L347" s="75" t="str">
        <f t="shared" si="11"/>
        <v/>
      </c>
    </row>
    <row r="348" spans="1:12" x14ac:dyDescent="0.25">
      <c r="A348" s="72" t="str">
        <f>IF($B348="","",COUNT($B$7:$B348))</f>
        <v/>
      </c>
      <c r="B348" s="74"/>
      <c r="C348" s="56" t="str">
        <f>IF($B348="","",IFERROR(MATCH($B348,Quincenas!$E$7:$E$30,1),""))</f>
        <v/>
      </c>
      <c r="D348" s="56" t="str">
        <f t="shared" si="10"/>
        <v/>
      </c>
      <c r="E348" s="68"/>
      <c r="F348" s="68"/>
      <c r="G348" s="68"/>
      <c r="H348" s="51"/>
      <c r="I348" s="68"/>
      <c r="J348" s="70"/>
      <c r="K348" s="71"/>
      <c r="L348" s="76" t="str">
        <f t="shared" si="11"/>
        <v/>
      </c>
    </row>
    <row r="349" spans="1:12" x14ac:dyDescent="0.25">
      <c r="A349" s="67" t="str">
        <f>IF($B349="","",COUNT($B$7:$B349))</f>
        <v/>
      </c>
      <c r="B349" s="74"/>
      <c r="C349" s="50" t="str">
        <f>IF($B349="","",IFERROR(MATCH($B349,Quincenas!$E$7:$E$30,1),""))</f>
        <v/>
      </c>
      <c r="D349" s="50" t="str">
        <f t="shared" si="10"/>
        <v/>
      </c>
      <c r="E349" s="68"/>
      <c r="F349" s="68"/>
      <c r="G349" s="68"/>
      <c r="H349" s="51"/>
      <c r="I349" s="68"/>
      <c r="J349" s="70"/>
      <c r="K349" s="71"/>
      <c r="L349" s="75" t="str">
        <f t="shared" si="11"/>
        <v/>
      </c>
    </row>
    <row r="350" spans="1:12" x14ac:dyDescent="0.25">
      <c r="A350" s="72" t="str">
        <f>IF($B350="","",COUNT($B$7:$B350))</f>
        <v/>
      </c>
      <c r="B350" s="74"/>
      <c r="C350" s="56" t="str">
        <f>IF($B350="","",IFERROR(MATCH($B350,Quincenas!$E$7:$E$30,1),""))</f>
        <v/>
      </c>
      <c r="D350" s="56" t="str">
        <f t="shared" si="10"/>
        <v/>
      </c>
      <c r="E350" s="68"/>
      <c r="F350" s="68"/>
      <c r="G350" s="68"/>
      <c r="H350" s="51"/>
      <c r="I350" s="68"/>
      <c r="J350" s="70"/>
      <c r="K350" s="71"/>
      <c r="L350" s="76" t="str">
        <f t="shared" si="11"/>
        <v/>
      </c>
    </row>
    <row r="351" spans="1:12" x14ac:dyDescent="0.25">
      <c r="A351" s="67" t="str">
        <f>IF($B351="","",COUNT($B$7:$B351))</f>
        <v/>
      </c>
      <c r="B351" s="74"/>
      <c r="C351" s="50" t="str">
        <f>IF($B351="","",IFERROR(MATCH($B351,Quincenas!$E$7:$E$30,1),""))</f>
        <v/>
      </c>
      <c r="D351" s="50" t="str">
        <f t="shared" si="10"/>
        <v/>
      </c>
      <c r="E351" s="68"/>
      <c r="F351" s="68"/>
      <c r="G351" s="68"/>
      <c r="H351" s="51"/>
      <c r="I351" s="68"/>
      <c r="J351" s="70"/>
      <c r="K351" s="71"/>
      <c r="L351" s="75" t="str">
        <f t="shared" si="11"/>
        <v/>
      </c>
    </row>
    <row r="352" spans="1:12" x14ac:dyDescent="0.25">
      <c r="A352" s="72" t="str">
        <f>IF($B352="","",COUNT($B$7:$B352))</f>
        <v/>
      </c>
      <c r="B352" s="74"/>
      <c r="C352" s="56" t="str">
        <f>IF($B352="","",IFERROR(MATCH($B352,Quincenas!$E$7:$E$30,1),""))</f>
        <v/>
      </c>
      <c r="D352" s="56" t="str">
        <f t="shared" si="10"/>
        <v/>
      </c>
      <c r="E352" s="68"/>
      <c r="F352" s="68"/>
      <c r="G352" s="68"/>
      <c r="H352" s="51"/>
      <c r="I352" s="68"/>
      <c r="J352" s="70"/>
      <c r="K352" s="71"/>
      <c r="L352" s="76" t="str">
        <f t="shared" si="11"/>
        <v/>
      </c>
    </row>
    <row r="353" spans="1:12" x14ac:dyDescent="0.25">
      <c r="A353" s="67" t="str">
        <f>IF($B353="","",COUNT($B$7:$B353))</f>
        <v/>
      </c>
      <c r="B353" s="74"/>
      <c r="C353" s="50" t="str">
        <f>IF($B353="","",IFERROR(MATCH($B353,Quincenas!$E$7:$E$30,1),""))</f>
        <v/>
      </c>
      <c r="D353" s="50" t="str">
        <f t="shared" si="10"/>
        <v/>
      </c>
      <c r="E353" s="68"/>
      <c r="F353" s="68"/>
      <c r="G353" s="68"/>
      <c r="H353" s="51"/>
      <c r="I353" s="68"/>
      <c r="J353" s="70"/>
      <c r="K353" s="71"/>
      <c r="L353" s="75" t="str">
        <f t="shared" si="11"/>
        <v/>
      </c>
    </row>
    <row r="354" spans="1:12" x14ac:dyDescent="0.25">
      <c r="A354" s="72" t="str">
        <f>IF($B354="","",COUNT($B$7:$B354))</f>
        <v/>
      </c>
      <c r="B354" s="74"/>
      <c r="C354" s="56" t="str">
        <f>IF($B354="","",IFERROR(MATCH($B354,Quincenas!$E$7:$E$30,1),""))</f>
        <v/>
      </c>
      <c r="D354" s="56" t="str">
        <f t="shared" si="10"/>
        <v/>
      </c>
      <c r="E354" s="68"/>
      <c r="F354" s="68"/>
      <c r="G354" s="68"/>
      <c r="H354" s="51"/>
      <c r="I354" s="68"/>
      <c r="J354" s="70"/>
      <c r="K354" s="71"/>
      <c r="L354" s="76" t="str">
        <f t="shared" si="11"/>
        <v/>
      </c>
    </row>
    <row r="355" spans="1:12" x14ac:dyDescent="0.25">
      <c r="A355" s="67" t="str">
        <f>IF($B355="","",COUNT($B$7:$B355))</f>
        <v/>
      </c>
      <c r="B355" s="74"/>
      <c r="C355" s="50" t="str">
        <f>IF($B355="","",IFERROR(MATCH($B355,Quincenas!$E$7:$E$30,1),""))</f>
        <v/>
      </c>
      <c r="D355" s="50" t="str">
        <f t="shared" si="10"/>
        <v/>
      </c>
      <c r="E355" s="68"/>
      <c r="F355" s="68"/>
      <c r="G355" s="68"/>
      <c r="H355" s="51"/>
      <c r="I355" s="68"/>
      <c r="J355" s="70"/>
      <c r="K355" s="71"/>
      <c r="L355" s="75" t="str">
        <f t="shared" si="11"/>
        <v/>
      </c>
    </row>
    <row r="356" spans="1:12" x14ac:dyDescent="0.25">
      <c r="A356" s="72" t="str">
        <f>IF($B356="","",COUNT($B$7:$B356))</f>
        <v/>
      </c>
      <c r="B356" s="74"/>
      <c r="C356" s="56" t="str">
        <f>IF($B356="","",IFERROR(MATCH($B356,Quincenas!$E$7:$E$30,1),""))</f>
        <v/>
      </c>
      <c r="D356" s="56" t="str">
        <f t="shared" si="10"/>
        <v/>
      </c>
      <c r="E356" s="68"/>
      <c r="F356" s="68"/>
      <c r="G356" s="68"/>
      <c r="H356" s="51"/>
      <c r="I356" s="68"/>
      <c r="J356" s="70"/>
      <c r="K356" s="71"/>
      <c r="L356" s="76" t="str">
        <f t="shared" si="11"/>
        <v/>
      </c>
    </row>
    <row r="357" spans="1:12" x14ac:dyDescent="0.25">
      <c r="A357" s="67" t="str">
        <f>IF($B357="","",COUNT($B$7:$B357))</f>
        <v/>
      </c>
      <c r="B357" s="74"/>
      <c r="C357" s="50" t="str">
        <f>IF($B357="","",IFERROR(MATCH($B357,Quincenas!$E$7:$E$30,1),""))</f>
        <v/>
      </c>
      <c r="D357" s="50" t="str">
        <f t="shared" si="10"/>
        <v/>
      </c>
      <c r="E357" s="68"/>
      <c r="F357" s="68"/>
      <c r="G357" s="68"/>
      <c r="H357" s="51"/>
      <c r="I357" s="68"/>
      <c r="J357" s="70"/>
      <c r="K357" s="71"/>
      <c r="L357" s="75" t="str">
        <f t="shared" si="11"/>
        <v/>
      </c>
    </row>
    <row r="358" spans="1:12" x14ac:dyDescent="0.25">
      <c r="A358" s="72" t="str">
        <f>IF($B358="","",COUNT($B$7:$B358))</f>
        <v/>
      </c>
      <c r="B358" s="74"/>
      <c r="C358" s="56" t="str">
        <f>IF($B358="","",IFERROR(MATCH($B358,Quincenas!$E$7:$E$30,1),""))</f>
        <v/>
      </c>
      <c r="D358" s="56" t="str">
        <f t="shared" si="10"/>
        <v/>
      </c>
      <c r="E358" s="68"/>
      <c r="F358" s="68"/>
      <c r="G358" s="68"/>
      <c r="H358" s="51"/>
      <c r="I358" s="68"/>
      <c r="J358" s="70"/>
      <c r="K358" s="71"/>
      <c r="L358" s="76" t="str">
        <f t="shared" si="11"/>
        <v/>
      </c>
    </row>
    <row r="359" spans="1:12" x14ac:dyDescent="0.25">
      <c r="A359" s="67" t="str">
        <f>IF($B359="","",COUNT($B$7:$B359))</f>
        <v/>
      </c>
      <c r="B359" s="74"/>
      <c r="C359" s="50" t="str">
        <f>IF($B359="","",IFERROR(MATCH($B359,Quincenas!$E$7:$E$30,1),""))</f>
        <v/>
      </c>
      <c r="D359" s="50" t="str">
        <f t="shared" si="10"/>
        <v/>
      </c>
      <c r="E359" s="68"/>
      <c r="F359" s="68"/>
      <c r="G359" s="68"/>
      <c r="H359" s="51"/>
      <c r="I359" s="68"/>
      <c r="J359" s="70"/>
      <c r="K359" s="71"/>
      <c r="L359" s="75" t="str">
        <f t="shared" si="11"/>
        <v/>
      </c>
    </row>
    <row r="360" spans="1:12" x14ac:dyDescent="0.25">
      <c r="A360" s="72" t="str">
        <f>IF($B360="","",COUNT($B$7:$B360))</f>
        <v/>
      </c>
      <c r="B360" s="74"/>
      <c r="C360" s="56" t="str">
        <f>IF($B360="","",IFERROR(MATCH($B360,Quincenas!$E$7:$E$30,1),""))</f>
        <v/>
      </c>
      <c r="D360" s="56" t="str">
        <f t="shared" si="10"/>
        <v/>
      </c>
      <c r="E360" s="68"/>
      <c r="F360" s="68"/>
      <c r="G360" s="68"/>
      <c r="H360" s="51"/>
      <c r="I360" s="68"/>
      <c r="J360" s="70"/>
      <c r="K360" s="71"/>
      <c r="L360" s="76" t="str">
        <f t="shared" si="11"/>
        <v/>
      </c>
    </row>
    <row r="361" spans="1:12" x14ac:dyDescent="0.25">
      <c r="A361" s="67" t="str">
        <f>IF($B361="","",COUNT($B$7:$B361))</f>
        <v/>
      </c>
      <c r="B361" s="74"/>
      <c r="C361" s="50" t="str">
        <f>IF($B361="","",IFERROR(MATCH($B361,Quincenas!$E$7:$E$30,1),""))</f>
        <v/>
      </c>
      <c r="D361" s="50" t="str">
        <f t="shared" si="10"/>
        <v/>
      </c>
      <c r="E361" s="68"/>
      <c r="F361" s="68"/>
      <c r="G361" s="68"/>
      <c r="H361" s="51"/>
      <c r="I361" s="68"/>
      <c r="J361" s="70"/>
      <c r="K361" s="71"/>
      <c r="L361" s="75" t="str">
        <f t="shared" si="11"/>
        <v/>
      </c>
    </row>
    <row r="362" spans="1:12" x14ac:dyDescent="0.25">
      <c r="A362" s="72" t="str">
        <f>IF($B362="","",COUNT($B$7:$B362))</f>
        <v/>
      </c>
      <c r="B362" s="74"/>
      <c r="C362" s="56" t="str">
        <f>IF($B362="","",IFERROR(MATCH($B362,Quincenas!$E$7:$E$30,1),""))</f>
        <v/>
      </c>
      <c r="D362" s="56" t="str">
        <f t="shared" si="10"/>
        <v/>
      </c>
      <c r="E362" s="68"/>
      <c r="F362" s="68"/>
      <c r="G362" s="68"/>
      <c r="H362" s="51"/>
      <c r="I362" s="68"/>
      <c r="J362" s="70"/>
      <c r="K362" s="71"/>
      <c r="L362" s="76" t="str">
        <f t="shared" si="11"/>
        <v/>
      </c>
    </row>
    <row r="363" spans="1:12" x14ac:dyDescent="0.25">
      <c r="A363" s="67" t="str">
        <f>IF($B363="","",COUNT($B$7:$B363))</f>
        <v/>
      </c>
      <c r="B363" s="74"/>
      <c r="C363" s="50" t="str">
        <f>IF($B363="","",IFERROR(MATCH($B363,Quincenas!$E$7:$E$30,1),""))</f>
        <v/>
      </c>
      <c r="D363" s="50" t="str">
        <f t="shared" si="10"/>
        <v/>
      </c>
      <c r="E363" s="68"/>
      <c r="F363" s="68"/>
      <c r="G363" s="68"/>
      <c r="H363" s="51"/>
      <c r="I363" s="68"/>
      <c r="J363" s="70"/>
      <c r="K363" s="71"/>
      <c r="L363" s="75" t="str">
        <f t="shared" si="11"/>
        <v/>
      </c>
    </row>
    <row r="364" spans="1:12" x14ac:dyDescent="0.25">
      <c r="A364" s="72" t="str">
        <f>IF($B364="","",COUNT($B$7:$B364))</f>
        <v/>
      </c>
      <c r="B364" s="74"/>
      <c r="C364" s="56" t="str">
        <f>IF($B364="","",IFERROR(MATCH($B364,Quincenas!$E$7:$E$30,1),""))</f>
        <v/>
      </c>
      <c r="D364" s="56" t="str">
        <f t="shared" si="10"/>
        <v/>
      </c>
      <c r="E364" s="68"/>
      <c r="F364" s="68"/>
      <c r="G364" s="68"/>
      <c r="H364" s="51"/>
      <c r="I364" s="68"/>
      <c r="J364" s="70"/>
      <c r="K364" s="71"/>
      <c r="L364" s="76" t="str">
        <f t="shared" si="11"/>
        <v/>
      </c>
    </row>
    <row r="365" spans="1:12" x14ac:dyDescent="0.25">
      <c r="A365" s="67" t="str">
        <f>IF($B365="","",COUNT($B$7:$B365))</f>
        <v/>
      </c>
      <c r="B365" s="74"/>
      <c r="C365" s="50" t="str">
        <f>IF($B365="","",IFERROR(MATCH($B365,Quincenas!$E$7:$E$30,1),""))</f>
        <v/>
      </c>
      <c r="D365" s="50" t="str">
        <f t="shared" si="10"/>
        <v/>
      </c>
      <c r="E365" s="68"/>
      <c r="F365" s="68"/>
      <c r="G365" s="68"/>
      <c r="H365" s="51"/>
      <c r="I365" s="68"/>
      <c r="J365" s="70"/>
      <c r="K365" s="71"/>
      <c r="L365" s="75" t="str">
        <f t="shared" si="11"/>
        <v/>
      </c>
    </row>
    <row r="366" spans="1:12" x14ac:dyDescent="0.25">
      <c r="A366" s="72" t="str">
        <f>IF($B366="","",COUNT($B$7:$B366))</f>
        <v/>
      </c>
      <c r="B366" s="74"/>
      <c r="C366" s="56" t="str">
        <f>IF($B366="","",IFERROR(MATCH($B366,Quincenas!$E$7:$E$30,1),""))</f>
        <v/>
      </c>
      <c r="D366" s="56" t="str">
        <f t="shared" si="10"/>
        <v/>
      </c>
      <c r="E366" s="68"/>
      <c r="F366" s="68"/>
      <c r="G366" s="68"/>
      <c r="H366" s="51"/>
      <c r="I366" s="68"/>
      <c r="J366" s="70"/>
      <c r="K366" s="71"/>
      <c r="L366" s="76" t="str">
        <f t="shared" si="11"/>
        <v/>
      </c>
    </row>
    <row r="367" spans="1:12" x14ac:dyDescent="0.25">
      <c r="A367" s="67" t="str">
        <f>IF($B367="","",COUNT($B$7:$B367))</f>
        <v/>
      </c>
      <c r="B367" s="74"/>
      <c r="C367" s="50" t="str">
        <f>IF($B367="","",IFERROR(MATCH($B367,Quincenas!$E$7:$E$30,1),""))</f>
        <v/>
      </c>
      <c r="D367" s="50" t="str">
        <f t="shared" si="10"/>
        <v/>
      </c>
      <c r="E367" s="68"/>
      <c r="F367" s="68"/>
      <c r="G367" s="68"/>
      <c r="H367" s="51"/>
      <c r="I367" s="68"/>
      <c r="J367" s="70"/>
      <c r="K367" s="71"/>
      <c r="L367" s="75" t="str">
        <f t="shared" si="11"/>
        <v/>
      </c>
    </row>
    <row r="368" spans="1:12" x14ac:dyDescent="0.25">
      <c r="A368" s="72" t="str">
        <f>IF($B368="","",COUNT($B$7:$B368))</f>
        <v/>
      </c>
      <c r="B368" s="74"/>
      <c r="C368" s="56" t="str">
        <f>IF($B368="","",IFERROR(MATCH($B368,Quincenas!$E$7:$E$30,1),""))</f>
        <v/>
      </c>
      <c r="D368" s="56" t="str">
        <f t="shared" si="10"/>
        <v/>
      </c>
      <c r="E368" s="68"/>
      <c r="F368" s="68"/>
      <c r="G368" s="68"/>
      <c r="H368" s="51"/>
      <c r="I368" s="68"/>
      <c r="J368" s="70"/>
      <c r="K368" s="71"/>
      <c r="L368" s="76" t="str">
        <f t="shared" si="11"/>
        <v/>
      </c>
    </row>
    <row r="369" spans="1:12" x14ac:dyDescent="0.25">
      <c r="A369" s="67" t="str">
        <f>IF($B369="","",COUNT($B$7:$B369))</f>
        <v/>
      </c>
      <c r="B369" s="74"/>
      <c r="C369" s="50" t="str">
        <f>IF($B369="","",IFERROR(MATCH($B369,Quincenas!$E$7:$E$30,1),""))</f>
        <v/>
      </c>
      <c r="D369" s="50" t="str">
        <f t="shared" si="10"/>
        <v/>
      </c>
      <c r="E369" s="68"/>
      <c r="F369" s="68"/>
      <c r="G369" s="68"/>
      <c r="H369" s="51"/>
      <c r="I369" s="68"/>
      <c r="J369" s="70"/>
      <c r="K369" s="71"/>
      <c r="L369" s="75" t="str">
        <f t="shared" si="11"/>
        <v/>
      </c>
    </row>
    <row r="370" spans="1:12" x14ac:dyDescent="0.25">
      <c r="A370" s="72" t="str">
        <f>IF($B370="","",COUNT($B$7:$B370))</f>
        <v/>
      </c>
      <c r="B370" s="74"/>
      <c r="C370" s="56" t="str">
        <f>IF($B370="","",IFERROR(MATCH($B370,Quincenas!$E$7:$E$30,1),""))</f>
        <v/>
      </c>
      <c r="D370" s="56" t="str">
        <f t="shared" si="10"/>
        <v/>
      </c>
      <c r="E370" s="68"/>
      <c r="F370" s="68"/>
      <c r="G370" s="68"/>
      <c r="H370" s="51"/>
      <c r="I370" s="68"/>
      <c r="J370" s="70"/>
      <c r="K370" s="71"/>
      <c r="L370" s="76" t="str">
        <f t="shared" si="11"/>
        <v/>
      </c>
    </row>
    <row r="371" spans="1:12" x14ac:dyDescent="0.25">
      <c r="A371" s="67" t="str">
        <f>IF($B371="","",COUNT($B$7:$B371))</f>
        <v/>
      </c>
      <c r="B371" s="74"/>
      <c r="C371" s="50" t="str">
        <f>IF($B371="","",IFERROR(MATCH($B371,Quincenas!$E$7:$E$30,1),""))</f>
        <v/>
      </c>
      <c r="D371" s="50" t="str">
        <f t="shared" si="10"/>
        <v/>
      </c>
      <c r="E371" s="68"/>
      <c r="F371" s="68"/>
      <c r="G371" s="68"/>
      <c r="H371" s="51"/>
      <c r="I371" s="68"/>
      <c r="J371" s="70"/>
      <c r="K371" s="71"/>
      <c r="L371" s="75" t="str">
        <f t="shared" si="11"/>
        <v/>
      </c>
    </row>
    <row r="372" spans="1:12" x14ac:dyDescent="0.25">
      <c r="A372" s="72" t="str">
        <f>IF($B372="","",COUNT($B$7:$B372))</f>
        <v/>
      </c>
      <c r="B372" s="74"/>
      <c r="C372" s="56" t="str">
        <f>IF($B372="","",IFERROR(MATCH($B372,Quincenas!$E$7:$E$30,1),""))</f>
        <v/>
      </c>
      <c r="D372" s="56" t="str">
        <f t="shared" si="10"/>
        <v/>
      </c>
      <c r="E372" s="68"/>
      <c r="F372" s="68"/>
      <c r="G372" s="68"/>
      <c r="H372" s="51"/>
      <c r="I372" s="68"/>
      <c r="J372" s="70"/>
      <c r="K372" s="71"/>
      <c r="L372" s="76" t="str">
        <f t="shared" si="11"/>
        <v/>
      </c>
    </row>
    <row r="373" spans="1:12" x14ac:dyDescent="0.25">
      <c r="A373" s="67" t="str">
        <f>IF($B373="","",COUNT($B$7:$B373))</f>
        <v/>
      </c>
      <c r="B373" s="74"/>
      <c r="C373" s="50" t="str">
        <f>IF($B373="","",IFERROR(MATCH($B373,Quincenas!$E$7:$E$30,1),""))</f>
        <v/>
      </c>
      <c r="D373" s="50" t="str">
        <f t="shared" si="10"/>
        <v/>
      </c>
      <c r="E373" s="68"/>
      <c r="F373" s="68"/>
      <c r="G373" s="68"/>
      <c r="H373" s="51"/>
      <c r="I373" s="68"/>
      <c r="J373" s="70"/>
      <c r="K373" s="71"/>
      <c r="L373" s="75" t="str">
        <f t="shared" si="11"/>
        <v/>
      </c>
    </row>
    <row r="374" spans="1:12" x14ac:dyDescent="0.25">
      <c r="A374" s="72" t="str">
        <f>IF($B374="","",COUNT($B$7:$B374))</f>
        <v/>
      </c>
      <c r="B374" s="74"/>
      <c r="C374" s="56" t="str">
        <f>IF($B374="","",IFERROR(MATCH($B374,Quincenas!$E$7:$E$30,1),""))</f>
        <v/>
      </c>
      <c r="D374" s="56" t="str">
        <f t="shared" si="10"/>
        <v/>
      </c>
      <c r="E374" s="68"/>
      <c r="F374" s="68"/>
      <c r="G374" s="68"/>
      <c r="H374" s="51"/>
      <c r="I374" s="68"/>
      <c r="J374" s="70"/>
      <c r="K374" s="71"/>
      <c r="L374" s="76" t="str">
        <f t="shared" si="11"/>
        <v/>
      </c>
    </row>
    <row r="375" spans="1:12" x14ac:dyDescent="0.25">
      <c r="A375" s="67" t="str">
        <f>IF($B375="","",COUNT($B$7:$B375))</f>
        <v/>
      </c>
      <c r="B375" s="74"/>
      <c r="C375" s="50" t="str">
        <f>IF($B375="","",IFERROR(MATCH($B375,Quincenas!$E$7:$E$30,1),""))</f>
        <v/>
      </c>
      <c r="D375" s="50" t="str">
        <f t="shared" si="10"/>
        <v/>
      </c>
      <c r="E375" s="68"/>
      <c r="F375" s="68"/>
      <c r="G375" s="68"/>
      <c r="H375" s="51"/>
      <c r="I375" s="68"/>
      <c r="J375" s="70"/>
      <c r="K375" s="71"/>
      <c r="L375" s="75" t="str">
        <f t="shared" si="11"/>
        <v/>
      </c>
    </row>
    <row r="376" spans="1:12" x14ac:dyDescent="0.25">
      <c r="A376" s="72" t="str">
        <f>IF($B376="","",COUNT($B$7:$B376))</f>
        <v/>
      </c>
      <c r="B376" s="74"/>
      <c r="C376" s="56" t="str">
        <f>IF($B376="","",IFERROR(MATCH($B376,Quincenas!$E$7:$E$30,1),""))</f>
        <v/>
      </c>
      <c r="D376" s="56" t="str">
        <f t="shared" si="10"/>
        <v/>
      </c>
      <c r="E376" s="68"/>
      <c r="F376" s="68"/>
      <c r="G376" s="68"/>
      <c r="H376" s="51"/>
      <c r="I376" s="68"/>
      <c r="J376" s="70"/>
      <c r="K376" s="71"/>
      <c r="L376" s="76" t="str">
        <f t="shared" si="11"/>
        <v/>
      </c>
    </row>
    <row r="377" spans="1:12" x14ac:dyDescent="0.25">
      <c r="A377" s="67" t="str">
        <f>IF($B377="","",COUNT($B$7:$B377))</f>
        <v/>
      </c>
      <c r="B377" s="74"/>
      <c r="C377" s="50" t="str">
        <f>IF($B377="","",IFERROR(MATCH($B377,Quincenas!$E$7:$E$30,1),""))</f>
        <v/>
      </c>
      <c r="D377" s="50" t="str">
        <f t="shared" si="10"/>
        <v/>
      </c>
      <c r="E377" s="68"/>
      <c r="F377" s="68"/>
      <c r="G377" s="68"/>
      <c r="H377" s="51"/>
      <c r="I377" s="68"/>
      <c r="J377" s="70"/>
      <c r="K377" s="71"/>
      <c r="L377" s="75" t="str">
        <f t="shared" si="11"/>
        <v/>
      </c>
    </row>
    <row r="378" spans="1:12" x14ac:dyDescent="0.25">
      <c r="A378" s="72" t="str">
        <f>IF($B378="","",COUNT($B$7:$B378))</f>
        <v/>
      </c>
      <c r="B378" s="74"/>
      <c r="C378" s="56" t="str">
        <f>IF($B378="","",IFERROR(MATCH($B378,Quincenas!$E$7:$E$30,1),""))</f>
        <v/>
      </c>
      <c r="D378" s="56" t="str">
        <f t="shared" si="10"/>
        <v/>
      </c>
      <c r="E378" s="68"/>
      <c r="F378" s="68"/>
      <c r="G378" s="68"/>
      <c r="H378" s="51"/>
      <c r="I378" s="68"/>
      <c r="J378" s="70"/>
      <c r="K378" s="71"/>
      <c r="L378" s="76" t="str">
        <f t="shared" si="11"/>
        <v/>
      </c>
    </row>
    <row r="379" spans="1:12" x14ac:dyDescent="0.25">
      <c r="A379" s="67" t="str">
        <f>IF($B379="","",COUNT($B$7:$B379))</f>
        <v/>
      </c>
      <c r="B379" s="74"/>
      <c r="C379" s="50" t="str">
        <f>IF($B379="","",IFERROR(MATCH($B379,Quincenas!$E$7:$E$30,1),""))</f>
        <v/>
      </c>
      <c r="D379" s="50" t="str">
        <f t="shared" si="10"/>
        <v/>
      </c>
      <c r="E379" s="68"/>
      <c r="F379" s="68"/>
      <c r="G379" s="68"/>
      <c r="H379" s="51"/>
      <c r="I379" s="68"/>
      <c r="J379" s="70"/>
      <c r="K379" s="71"/>
      <c r="L379" s="75" t="str">
        <f t="shared" si="11"/>
        <v/>
      </c>
    </row>
    <row r="380" spans="1:12" x14ac:dyDescent="0.25">
      <c r="A380" s="72" t="str">
        <f>IF($B380="","",COUNT($B$7:$B380))</f>
        <v/>
      </c>
      <c r="B380" s="74"/>
      <c r="C380" s="56" t="str">
        <f>IF($B380="","",IFERROR(MATCH($B380,Quincenas!$E$7:$E$30,1),""))</f>
        <v/>
      </c>
      <c r="D380" s="56" t="str">
        <f t="shared" si="10"/>
        <v/>
      </c>
      <c r="E380" s="68"/>
      <c r="F380" s="68"/>
      <c r="G380" s="68"/>
      <c r="H380" s="51"/>
      <c r="I380" s="68"/>
      <c r="J380" s="70"/>
      <c r="K380" s="71"/>
      <c r="L380" s="76" t="str">
        <f t="shared" si="11"/>
        <v/>
      </c>
    </row>
    <row r="381" spans="1:12" x14ac:dyDescent="0.25">
      <c r="A381" s="67" t="str">
        <f>IF($B381="","",COUNT($B$7:$B381))</f>
        <v/>
      </c>
      <c r="B381" s="74"/>
      <c r="C381" s="50" t="str">
        <f>IF($B381="","",IFERROR(MATCH($B381,Quincenas!$E$7:$E$30,1),""))</f>
        <v/>
      </c>
      <c r="D381" s="50" t="str">
        <f t="shared" si="10"/>
        <v/>
      </c>
      <c r="E381" s="68"/>
      <c r="F381" s="68"/>
      <c r="G381" s="68"/>
      <c r="H381" s="51"/>
      <c r="I381" s="68"/>
      <c r="J381" s="70"/>
      <c r="K381" s="71"/>
      <c r="L381" s="75" t="str">
        <f t="shared" si="11"/>
        <v/>
      </c>
    </row>
    <row r="382" spans="1:12" x14ac:dyDescent="0.25">
      <c r="A382" s="72" t="str">
        <f>IF($B382="","",COUNT($B$7:$B382))</f>
        <v/>
      </c>
      <c r="B382" s="74"/>
      <c r="C382" s="56" t="str">
        <f>IF($B382="","",IFERROR(MATCH($B382,Quincenas!$E$7:$E$30,1),""))</f>
        <v/>
      </c>
      <c r="D382" s="56" t="str">
        <f t="shared" si="10"/>
        <v/>
      </c>
      <c r="E382" s="68"/>
      <c r="F382" s="68"/>
      <c r="G382" s="68"/>
      <c r="H382" s="51"/>
      <c r="I382" s="68"/>
      <c r="J382" s="70"/>
      <c r="K382" s="71"/>
      <c r="L382" s="76" t="str">
        <f t="shared" si="11"/>
        <v/>
      </c>
    </row>
    <row r="383" spans="1:12" x14ac:dyDescent="0.25">
      <c r="A383" s="67" t="str">
        <f>IF($B383="","",COUNT($B$7:$B383))</f>
        <v/>
      </c>
      <c r="B383" s="74"/>
      <c r="C383" s="50" t="str">
        <f>IF($B383="","",IFERROR(MATCH($B383,Quincenas!$E$7:$E$30,1),""))</f>
        <v/>
      </c>
      <c r="D383" s="50" t="str">
        <f t="shared" si="10"/>
        <v/>
      </c>
      <c r="E383" s="68"/>
      <c r="F383" s="68"/>
      <c r="G383" s="68"/>
      <c r="H383" s="51"/>
      <c r="I383" s="68"/>
      <c r="J383" s="70"/>
      <c r="K383" s="71"/>
      <c r="L383" s="75" t="str">
        <f t="shared" si="11"/>
        <v/>
      </c>
    </row>
    <row r="384" spans="1:12" x14ac:dyDescent="0.25">
      <c r="A384" s="72" t="str">
        <f>IF($B384="","",COUNT($B$7:$B384))</f>
        <v/>
      </c>
      <c r="B384" s="74"/>
      <c r="C384" s="56" t="str">
        <f>IF($B384="","",IFERROR(MATCH($B384,Quincenas!$E$7:$E$30,1),""))</f>
        <v/>
      </c>
      <c r="D384" s="56" t="str">
        <f t="shared" si="10"/>
        <v/>
      </c>
      <c r="E384" s="68"/>
      <c r="F384" s="68"/>
      <c r="G384" s="68"/>
      <c r="H384" s="51"/>
      <c r="I384" s="68"/>
      <c r="J384" s="70"/>
      <c r="K384" s="71"/>
      <c r="L384" s="76" t="str">
        <f t="shared" si="11"/>
        <v/>
      </c>
    </row>
    <row r="385" spans="1:12" x14ac:dyDescent="0.25">
      <c r="A385" s="67" t="str">
        <f>IF($B385="","",COUNT($B$7:$B385))</f>
        <v/>
      </c>
      <c r="B385" s="74"/>
      <c r="C385" s="50" t="str">
        <f>IF($B385="","",IFERROR(MATCH($B385,Quincenas!$E$7:$E$30,1),""))</f>
        <v/>
      </c>
      <c r="D385" s="50" t="str">
        <f t="shared" si="10"/>
        <v/>
      </c>
      <c r="E385" s="68"/>
      <c r="F385" s="68"/>
      <c r="G385" s="68"/>
      <c r="H385" s="51"/>
      <c r="I385" s="68"/>
      <c r="J385" s="70"/>
      <c r="K385" s="71"/>
      <c r="L385" s="75" t="str">
        <f t="shared" si="11"/>
        <v/>
      </c>
    </row>
    <row r="386" spans="1:12" x14ac:dyDescent="0.25">
      <c r="A386" s="72" t="str">
        <f>IF($B386="","",COUNT($B$7:$B386))</f>
        <v/>
      </c>
      <c r="B386" s="74"/>
      <c r="C386" s="56" t="str">
        <f>IF($B386="","",IFERROR(MATCH($B386,Quincenas!$E$7:$E$30,1),""))</f>
        <v/>
      </c>
      <c r="D386" s="56" t="str">
        <f t="shared" si="10"/>
        <v/>
      </c>
      <c r="E386" s="68"/>
      <c r="F386" s="68"/>
      <c r="G386" s="68"/>
      <c r="H386" s="51"/>
      <c r="I386" s="68"/>
      <c r="J386" s="70"/>
      <c r="K386" s="71"/>
      <c r="L386" s="76" t="str">
        <f t="shared" si="11"/>
        <v/>
      </c>
    </row>
    <row r="387" spans="1:12" x14ac:dyDescent="0.25">
      <c r="A387" s="67" t="str">
        <f>IF($B387="","",COUNT($B$7:$B387))</f>
        <v/>
      </c>
      <c r="B387" s="74"/>
      <c r="C387" s="50" t="str">
        <f>IF($B387="","",IFERROR(MATCH($B387,Quincenas!$E$7:$E$30,1),""))</f>
        <v/>
      </c>
      <c r="D387" s="50" t="str">
        <f t="shared" ref="D387:D402" si="12">IF($B387="","",MONTH($B387))</f>
        <v/>
      </c>
      <c r="E387" s="68"/>
      <c r="F387" s="68"/>
      <c r="G387" s="68"/>
      <c r="H387" s="51"/>
      <c r="I387" s="68"/>
      <c r="J387" s="70"/>
      <c r="K387" s="71"/>
      <c r="L387" s="75" t="str">
        <f t="shared" ref="L387:L402" si="13">IF($B387="","",IF($C387="","La fecha está fuera del año configurado",IF($E387="","Falta indicar el tipo",IF($H387="","Falta el monto",IF($F387="","Falta la categoría",IF(AND($E387="Fijo",COUNTIF(Fijos_Concepto,$G387)=0),"El concepto no existe en la hoja Fijos",IF($J387="Pendiente","Movimiento pendiente de pago","OK")))))))</f>
        <v/>
      </c>
    </row>
    <row r="388" spans="1:12" x14ac:dyDescent="0.25">
      <c r="A388" s="72" t="str">
        <f>IF($B388="","",COUNT($B$7:$B388))</f>
        <v/>
      </c>
      <c r="B388" s="74"/>
      <c r="C388" s="56" t="str">
        <f>IF($B388="","",IFERROR(MATCH($B388,Quincenas!$E$7:$E$30,1),""))</f>
        <v/>
      </c>
      <c r="D388" s="56" t="str">
        <f t="shared" si="12"/>
        <v/>
      </c>
      <c r="E388" s="68"/>
      <c r="F388" s="68"/>
      <c r="G388" s="68"/>
      <c r="H388" s="51"/>
      <c r="I388" s="68"/>
      <c r="J388" s="70"/>
      <c r="K388" s="71"/>
      <c r="L388" s="76" t="str">
        <f t="shared" si="13"/>
        <v/>
      </c>
    </row>
    <row r="389" spans="1:12" x14ac:dyDescent="0.25">
      <c r="A389" s="67" t="str">
        <f>IF($B389="","",COUNT($B$7:$B389))</f>
        <v/>
      </c>
      <c r="B389" s="74"/>
      <c r="C389" s="50" t="str">
        <f>IF($B389="","",IFERROR(MATCH($B389,Quincenas!$E$7:$E$30,1),""))</f>
        <v/>
      </c>
      <c r="D389" s="50" t="str">
        <f t="shared" si="12"/>
        <v/>
      </c>
      <c r="E389" s="68"/>
      <c r="F389" s="68"/>
      <c r="G389" s="68"/>
      <c r="H389" s="51"/>
      <c r="I389" s="68"/>
      <c r="J389" s="70"/>
      <c r="K389" s="71"/>
      <c r="L389" s="75" t="str">
        <f t="shared" si="13"/>
        <v/>
      </c>
    </row>
    <row r="390" spans="1:12" x14ac:dyDescent="0.25">
      <c r="A390" s="72" t="str">
        <f>IF($B390="","",COUNT($B$7:$B390))</f>
        <v/>
      </c>
      <c r="B390" s="74"/>
      <c r="C390" s="56" t="str">
        <f>IF($B390="","",IFERROR(MATCH($B390,Quincenas!$E$7:$E$30,1),""))</f>
        <v/>
      </c>
      <c r="D390" s="56" t="str">
        <f t="shared" si="12"/>
        <v/>
      </c>
      <c r="E390" s="68"/>
      <c r="F390" s="68"/>
      <c r="G390" s="68"/>
      <c r="H390" s="51"/>
      <c r="I390" s="68"/>
      <c r="J390" s="70"/>
      <c r="K390" s="71"/>
      <c r="L390" s="76" t="str">
        <f t="shared" si="13"/>
        <v/>
      </c>
    </row>
    <row r="391" spans="1:12" x14ac:dyDescent="0.25">
      <c r="A391" s="67" t="str">
        <f>IF($B391="","",COUNT($B$7:$B391))</f>
        <v/>
      </c>
      <c r="B391" s="74"/>
      <c r="C391" s="50" t="str">
        <f>IF($B391="","",IFERROR(MATCH($B391,Quincenas!$E$7:$E$30,1),""))</f>
        <v/>
      </c>
      <c r="D391" s="50" t="str">
        <f t="shared" si="12"/>
        <v/>
      </c>
      <c r="E391" s="68"/>
      <c r="F391" s="68"/>
      <c r="G391" s="68"/>
      <c r="H391" s="51"/>
      <c r="I391" s="68"/>
      <c r="J391" s="70"/>
      <c r="K391" s="71"/>
      <c r="L391" s="75" t="str">
        <f t="shared" si="13"/>
        <v/>
      </c>
    </row>
    <row r="392" spans="1:12" x14ac:dyDescent="0.25">
      <c r="A392" s="72" t="str">
        <f>IF($B392="","",COUNT($B$7:$B392))</f>
        <v/>
      </c>
      <c r="B392" s="74"/>
      <c r="C392" s="56" t="str">
        <f>IF($B392="","",IFERROR(MATCH($B392,Quincenas!$E$7:$E$30,1),""))</f>
        <v/>
      </c>
      <c r="D392" s="56" t="str">
        <f t="shared" si="12"/>
        <v/>
      </c>
      <c r="E392" s="68"/>
      <c r="F392" s="68"/>
      <c r="G392" s="68"/>
      <c r="H392" s="51"/>
      <c r="I392" s="68"/>
      <c r="J392" s="70"/>
      <c r="K392" s="71"/>
      <c r="L392" s="76" t="str">
        <f t="shared" si="13"/>
        <v/>
      </c>
    </row>
    <row r="393" spans="1:12" x14ac:dyDescent="0.25">
      <c r="A393" s="67" t="str">
        <f>IF($B393="","",COUNT($B$7:$B393))</f>
        <v/>
      </c>
      <c r="B393" s="74"/>
      <c r="C393" s="50" t="str">
        <f>IF($B393="","",IFERROR(MATCH($B393,Quincenas!$E$7:$E$30,1),""))</f>
        <v/>
      </c>
      <c r="D393" s="50" t="str">
        <f t="shared" si="12"/>
        <v/>
      </c>
      <c r="E393" s="68"/>
      <c r="F393" s="68"/>
      <c r="G393" s="68"/>
      <c r="H393" s="51"/>
      <c r="I393" s="68"/>
      <c r="J393" s="70"/>
      <c r="K393" s="71"/>
      <c r="L393" s="75" t="str">
        <f t="shared" si="13"/>
        <v/>
      </c>
    </row>
    <row r="394" spans="1:12" x14ac:dyDescent="0.25">
      <c r="A394" s="72" t="str">
        <f>IF($B394="","",COUNT($B$7:$B394))</f>
        <v/>
      </c>
      <c r="B394" s="74"/>
      <c r="C394" s="56" t="str">
        <f>IF($B394="","",IFERROR(MATCH($B394,Quincenas!$E$7:$E$30,1),""))</f>
        <v/>
      </c>
      <c r="D394" s="56" t="str">
        <f t="shared" si="12"/>
        <v/>
      </c>
      <c r="E394" s="68"/>
      <c r="F394" s="68"/>
      <c r="G394" s="68"/>
      <c r="H394" s="51"/>
      <c r="I394" s="68"/>
      <c r="J394" s="70"/>
      <c r="K394" s="71"/>
      <c r="L394" s="76" t="str">
        <f t="shared" si="13"/>
        <v/>
      </c>
    </row>
    <row r="395" spans="1:12" x14ac:dyDescent="0.25">
      <c r="A395" s="67" t="str">
        <f>IF($B395="","",COUNT($B$7:$B395))</f>
        <v/>
      </c>
      <c r="B395" s="74"/>
      <c r="C395" s="50" t="str">
        <f>IF($B395="","",IFERROR(MATCH($B395,Quincenas!$E$7:$E$30,1),""))</f>
        <v/>
      </c>
      <c r="D395" s="50" t="str">
        <f t="shared" si="12"/>
        <v/>
      </c>
      <c r="E395" s="68"/>
      <c r="F395" s="68"/>
      <c r="G395" s="68"/>
      <c r="H395" s="51"/>
      <c r="I395" s="68"/>
      <c r="J395" s="70"/>
      <c r="K395" s="71"/>
      <c r="L395" s="75" t="str">
        <f t="shared" si="13"/>
        <v/>
      </c>
    </row>
    <row r="396" spans="1:12" x14ac:dyDescent="0.25">
      <c r="A396" s="72" t="str">
        <f>IF($B396="","",COUNT($B$7:$B396))</f>
        <v/>
      </c>
      <c r="B396" s="74"/>
      <c r="C396" s="56" t="str">
        <f>IF($B396="","",IFERROR(MATCH($B396,Quincenas!$E$7:$E$30,1),""))</f>
        <v/>
      </c>
      <c r="D396" s="56" t="str">
        <f t="shared" si="12"/>
        <v/>
      </c>
      <c r="E396" s="68"/>
      <c r="F396" s="68"/>
      <c r="G396" s="68"/>
      <c r="H396" s="51"/>
      <c r="I396" s="68"/>
      <c r="J396" s="70"/>
      <c r="K396" s="71"/>
      <c r="L396" s="76" t="str">
        <f t="shared" si="13"/>
        <v/>
      </c>
    </row>
    <row r="397" spans="1:12" x14ac:dyDescent="0.25">
      <c r="A397" s="67" t="str">
        <f>IF($B397="","",COUNT($B$7:$B397))</f>
        <v/>
      </c>
      <c r="B397" s="74"/>
      <c r="C397" s="50" t="str">
        <f>IF($B397="","",IFERROR(MATCH($B397,Quincenas!$E$7:$E$30,1),""))</f>
        <v/>
      </c>
      <c r="D397" s="50" t="str">
        <f t="shared" si="12"/>
        <v/>
      </c>
      <c r="E397" s="68"/>
      <c r="F397" s="68"/>
      <c r="G397" s="68"/>
      <c r="H397" s="51"/>
      <c r="I397" s="68"/>
      <c r="J397" s="70"/>
      <c r="K397" s="71"/>
      <c r="L397" s="75" t="str">
        <f t="shared" si="13"/>
        <v/>
      </c>
    </row>
    <row r="398" spans="1:12" x14ac:dyDescent="0.25">
      <c r="A398" s="72" t="str">
        <f>IF($B398="","",COUNT($B$7:$B398))</f>
        <v/>
      </c>
      <c r="B398" s="74"/>
      <c r="C398" s="56" t="str">
        <f>IF($B398="","",IFERROR(MATCH($B398,Quincenas!$E$7:$E$30,1),""))</f>
        <v/>
      </c>
      <c r="D398" s="56" t="str">
        <f t="shared" si="12"/>
        <v/>
      </c>
      <c r="E398" s="68"/>
      <c r="F398" s="68"/>
      <c r="G398" s="68"/>
      <c r="H398" s="51"/>
      <c r="I398" s="68"/>
      <c r="J398" s="70"/>
      <c r="K398" s="71"/>
      <c r="L398" s="76" t="str">
        <f t="shared" si="13"/>
        <v/>
      </c>
    </row>
    <row r="399" spans="1:12" x14ac:dyDescent="0.25">
      <c r="A399" s="67" t="str">
        <f>IF($B399="","",COUNT($B$7:$B399))</f>
        <v/>
      </c>
      <c r="B399" s="74"/>
      <c r="C399" s="50" t="str">
        <f>IF($B399="","",IFERROR(MATCH($B399,Quincenas!$E$7:$E$30,1),""))</f>
        <v/>
      </c>
      <c r="D399" s="50" t="str">
        <f t="shared" si="12"/>
        <v/>
      </c>
      <c r="E399" s="68"/>
      <c r="F399" s="68"/>
      <c r="G399" s="68"/>
      <c r="H399" s="51"/>
      <c r="I399" s="68"/>
      <c r="J399" s="70"/>
      <c r="K399" s="71"/>
      <c r="L399" s="75" t="str">
        <f t="shared" si="13"/>
        <v/>
      </c>
    </row>
    <row r="400" spans="1:12" x14ac:dyDescent="0.25">
      <c r="A400" s="72" t="str">
        <f>IF($B400="","",COUNT($B$7:$B400))</f>
        <v/>
      </c>
      <c r="B400" s="74"/>
      <c r="C400" s="56" t="str">
        <f>IF($B400="","",IFERROR(MATCH($B400,Quincenas!$E$7:$E$30,1),""))</f>
        <v/>
      </c>
      <c r="D400" s="56" t="str">
        <f t="shared" si="12"/>
        <v/>
      </c>
      <c r="E400" s="68"/>
      <c r="F400" s="68"/>
      <c r="G400" s="68"/>
      <c r="H400" s="51"/>
      <c r="I400" s="68"/>
      <c r="J400" s="70"/>
      <c r="K400" s="71"/>
      <c r="L400" s="76" t="str">
        <f t="shared" si="13"/>
        <v/>
      </c>
    </row>
    <row r="401" spans="1:12" x14ac:dyDescent="0.25">
      <c r="A401" s="67" t="str">
        <f>IF($B401="","",COUNT($B$7:$B401))</f>
        <v/>
      </c>
      <c r="B401" s="74"/>
      <c r="C401" s="50" t="str">
        <f>IF($B401="","",IFERROR(MATCH($B401,Quincenas!$E$7:$E$30,1),""))</f>
        <v/>
      </c>
      <c r="D401" s="50" t="str">
        <f t="shared" si="12"/>
        <v/>
      </c>
      <c r="E401" s="68"/>
      <c r="F401" s="68"/>
      <c r="G401" s="68"/>
      <c r="H401" s="51"/>
      <c r="I401" s="68"/>
      <c r="J401" s="70"/>
      <c r="K401" s="71"/>
      <c r="L401" s="75" t="str">
        <f t="shared" si="13"/>
        <v/>
      </c>
    </row>
    <row r="402" spans="1:12" x14ac:dyDescent="0.25">
      <c r="A402" s="72" t="str">
        <f>IF($B402="","",COUNT($B$7:$B402))</f>
        <v/>
      </c>
      <c r="B402" s="74"/>
      <c r="C402" s="56" t="str">
        <f>IF($B402="","",IFERROR(MATCH($B402,Quincenas!$E$7:$E$30,1),""))</f>
        <v/>
      </c>
      <c r="D402" s="56" t="str">
        <f t="shared" si="12"/>
        <v/>
      </c>
      <c r="E402" s="68"/>
      <c r="F402" s="68"/>
      <c r="G402" s="68"/>
      <c r="H402" s="51"/>
      <c r="I402" s="68"/>
      <c r="J402" s="70"/>
      <c r="K402" s="71"/>
      <c r="L402" s="76" t="str">
        <f t="shared" si="13"/>
        <v/>
      </c>
    </row>
  </sheetData>
  <autoFilter ref="A6:L402" xr:uid="{00000000-0009-0000-0000-000004000000}"/>
  <mergeCells count="1">
    <mergeCell ref="A1:L1"/>
  </mergeCells>
  <conditionalFormatting sqref="A7:L402">
    <cfRule type="expression" dxfId="21" priority="5">
      <formula>$E7="Ingreso extra"</formula>
    </cfRule>
  </conditionalFormatting>
  <conditionalFormatting sqref="L7:L402">
    <cfRule type="expression" dxfId="20" priority="2">
      <formula>$L7="OK"</formula>
    </cfRule>
    <cfRule type="expression" dxfId="19" priority="3">
      <formula>$L7="Movimiento pendiente de pago"</formula>
    </cfRule>
    <cfRule type="expression" dxfId="18" priority="4">
      <formula>AND($L7&lt;&gt;"",$L7&lt;&gt;"OK",$L7&lt;&gt;"Movimiento pendiente de pago")</formula>
    </cfRule>
  </conditionalFormatting>
  <dataValidations count="6">
    <dataValidation type="list" allowBlank="1" sqref="E7:E402" xr:uid="{00000000-0002-0000-0400-000000000000}">
      <formula1>Lista_Tipos</formula1>
      <formula2>0</formula2>
    </dataValidation>
    <dataValidation type="list" allowBlank="1" sqref="F7:F402" xr:uid="{00000000-0002-0000-0400-000001000000}">
      <formula1>Lista_Categorias</formula1>
      <formula2>0</formula2>
    </dataValidation>
    <dataValidation type="list" allowBlank="1" sqref="G7:G402" xr:uid="{00000000-0002-0000-0400-000002000000}">
      <formula1>Lista_Fijos</formula1>
      <formula2>0</formula2>
    </dataValidation>
    <dataValidation type="list" allowBlank="1" sqref="I7:I402" xr:uid="{00000000-0002-0000-0400-000003000000}">
      <formula1>Lista_Metodos</formula1>
      <formula2>0</formula2>
    </dataValidation>
    <dataValidation type="list" allowBlank="1" sqref="J7:J402" xr:uid="{00000000-0002-0000-0400-000004000000}">
      <formula1>Lista_Estados</formula1>
      <formula2>0</formula2>
    </dataValidation>
    <dataValidation type="decimal" operator="greaterThanOrEqual" allowBlank="1" showErrorMessage="1" errorTitle="Monto no válido" error="El monto debe ser un número mayor o igual a cero." sqref="H7:H402" xr:uid="{00000000-0002-0000-0400-000005000000}">
      <formula1>0</formula1>
      <formula2>0</formula2>
    </dataValidation>
  </dataValidation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0006"/>
    <pageSetUpPr fitToPage="1"/>
  </sheetPr>
  <dimension ref="A1:J39"/>
  <sheetViews>
    <sheetView showGridLines="0" zoomScaleNormal="100"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C11" sqref="C11"/>
    </sheetView>
  </sheetViews>
  <sheetFormatPr baseColWidth="10" defaultColWidth="8.7109375" defaultRowHeight="15" x14ac:dyDescent="0.25"/>
  <cols>
    <col min="1" max="1" width="8" customWidth="1"/>
    <col min="2" max="2" width="22" customWidth="1"/>
    <col min="3" max="3" width="30" customWidth="1"/>
    <col min="4" max="4" width="15" customWidth="1"/>
    <col min="5" max="5" width="13" customWidth="1"/>
    <col min="6" max="6" width="15" customWidth="1"/>
    <col min="7" max="7" width="13" customWidth="1"/>
    <col min="8" max="8" width="14" customWidth="1"/>
    <col min="9" max="9" width="25" customWidth="1"/>
    <col min="10" max="10" width="9" customWidth="1"/>
  </cols>
  <sheetData>
    <row r="1" spans="1:10" ht="27.75" customHeight="1" x14ac:dyDescent="0.25">
      <c r="A1" s="7" t="s">
        <v>194</v>
      </c>
      <c r="B1" s="7"/>
      <c r="C1" s="7"/>
      <c r="D1" s="7"/>
      <c r="E1" s="7"/>
      <c r="F1" s="7"/>
      <c r="G1" s="7"/>
      <c r="H1" s="7"/>
      <c r="I1" s="7"/>
      <c r="J1" s="7"/>
    </row>
    <row r="3" spans="1:10" x14ac:dyDescent="0.25">
      <c r="B3" s="77" t="s">
        <v>195</v>
      </c>
      <c r="C3" s="78">
        <f ca="1">Q_Activa</f>
        <v>16</v>
      </c>
      <c r="E3" s="28" t="s">
        <v>196</v>
      </c>
    </row>
    <row r="4" spans="1:10" x14ac:dyDescent="0.25">
      <c r="B4" s="77" t="s">
        <v>197</v>
      </c>
      <c r="C4" s="79" t="str">
        <f ca="1">INDEX(Quincenas!$B$7:$B$30,Q_Activa)&amp;" · "&amp;INDEX(Quincenas!$D$7:$D$30,Q_Activa)</f>
        <v>Agosto · Q2</v>
      </c>
    </row>
    <row r="5" spans="1:10" x14ac:dyDescent="0.25">
      <c r="B5" s="77" t="s">
        <v>198</v>
      </c>
      <c r="C5" s="79" t="str">
        <f ca="1">TEXT(INDEX(Quincenas!$E$7:$E$30,Q_Activa),"DD/MM/YYYY")&amp;" al "&amp;TEXT(INDEX(Quincenas!$F$7:$F$30,Q_Activa),"DD/MM/YYYY")</f>
        <v>16/08/2026 al 31/08/2026</v>
      </c>
    </row>
    <row r="7" spans="1:10" ht="33.75" customHeight="1" x14ac:dyDescent="0.25">
      <c r="A7" s="17" t="s">
        <v>142</v>
      </c>
      <c r="B7" s="17" t="s">
        <v>143</v>
      </c>
      <c r="C7" s="17" t="s">
        <v>5</v>
      </c>
      <c r="D7" s="17" t="s">
        <v>199</v>
      </c>
      <c r="E7" s="17" t="s">
        <v>200</v>
      </c>
      <c r="F7" s="17" t="s">
        <v>201</v>
      </c>
      <c r="G7" s="17" t="s">
        <v>202</v>
      </c>
      <c r="H7" s="17" t="s">
        <v>203</v>
      </c>
      <c r="I7" s="17" t="s">
        <v>186</v>
      </c>
      <c r="J7" s="17" t="s">
        <v>204</v>
      </c>
    </row>
    <row r="8" spans="1:10" x14ac:dyDescent="0.25">
      <c r="A8" s="67" t="str">
        <f>IF(Fijos!$C7="","",Fijos!$A7)</f>
        <v>F01</v>
      </c>
      <c r="B8" s="21" t="str">
        <f>IF(Fijos!$C7="","",Fijos!$B7)</f>
        <v>Vivienda</v>
      </c>
      <c r="C8" s="16" t="str">
        <f>IF(Fijos!$C7="","",Fijos!$C7)</f>
        <v>Apoyo Casa</v>
      </c>
      <c r="D8" s="52">
        <f ca="1">IF($C8="","",IF(Fijos!$I7="No",0,IF(OR(Fijos!$G7="Ambas",Fijos!$G7=INDEX(Quincenas!$D$7:$D$30,Q_Activa)),Fijos!$D7,0)))</f>
        <v>2500</v>
      </c>
      <c r="E8" s="33">
        <f ca="1">IF($C8="","",IF($D8=0,"",IF(Fijos!$F7="Quincenal",INDEX(Quincenas!$F$7:$F$30,Q_Activa),DATE(Anio,INDEX(Quincenas!$C$7:$C$30,Q_Activa),MIN(Fijos!$E7,DAY(INDEX(Quincenas!$F$7:$F$30,Q_Activa)))))))</f>
        <v>46265</v>
      </c>
      <c r="F8" s="52">
        <f t="shared" ref="F8:F29" ca="1" si="0">IF($C8="","",SUMIFS(Reg_Monto,Reg_Concepto,$C8,Reg_Quincena,Q_Activa,Reg_Tipo,"Fijo"))</f>
        <v>0</v>
      </c>
      <c r="G8" s="33" t="str">
        <f t="shared" ref="G8:G29" ca="1" si="1">IF($C8="","",IF($F8=0,"",SUMPRODUCT(MAX((Reg_Concepto=$C8)*(Reg_Quincena=Q_Activa)*(Reg_Tipo="Fijo")*Reg_Fecha))))</f>
        <v/>
      </c>
      <c r="H8" s="52">
        <f t="shared" ref="H8:H29" ca="1" si="2">IF($C8="","",$F8-$D8)</f>
        <v>-2500</v>
      </c>
      <c r="I8" s="80" t="str">
        <f t="shared" ref="I8:I29" ca="1" si="3">IF($C8="","",IF($D8=0,"No aplica",IF($F8&gt;0,IF(ABS($H8)&lt;1,"Pagado","Pagado (monto distinto)"),IF($E8&lt;TODAY(),"VENCIDO sin registrar",IF($E8-TODAY()&lt;=Dias_Aviso,"Por vencer","Pendiente")))))</f>
        <v>Por vencer</v>
      </c>
      <c r="J8" s="50">
        <f t="shared" ref="J8:J29" ca="1" si="4">IF(OR($C8="",$D8=0,$F8&gt;0),"",$E8-TODAY())</f>
        <v>0</v>
      </c>
    </row>
    <row r="9" spans="1:10" x14ac:dyDescent="0.25">
      <c r="A9" s="72" t="str">
        <f>IF(Fijos!$C8="","",Fijos!$A8)</f>
        <v>F02</v>
      </c>
      <c r="B9" s="55" t="str">
        <f>IF(Fijos!$C8="","",Fijos!$B8)</f>
        <v>Transporte</v>
      </c>
      <c r="C9" s="81" t="str">
        <f>IF(Fijos!$C8="","",Fijos!$C8)</f>
        <v>Pasajes y transporte</v>
      </c>
      <c r="D9" s="59">
        <f ca="1">IF($C9="","",IF(Fijos!$I8="No",0,IF(OR(Fijos!$G8="Ambas",Fijos!$G8=INDEX(Quincenas!$D$7:$D$30,Q_Activa)),Fijos!$D8,0)))</f>
        <v>2400</v>
      </c>
      <c r="E9" s="58">
        <f ca="1">IF($C9="","",IF($D9=0,"",IF(Fijos!$F8="Quincenal",INDEX(Quincenas!$F$7:$F$30,Q_Activa),DATE(Anio,INDEX(Quincenas!$C$7:$C$30,Q_Activa),MIN(Fijos!$E8,DAY(INDEX(Quincenas!$F$7:$F$30,Q_Activa)))))))</f>
        <v>46265</v>
      </c>
      <c r="F9" s="59">
        <f t="shared" ca="1" si="0"/>
        <v>0</v>
      </c>
      <c r="G9" s="58" t="str">
        <f t="shared" ca="1" si="1"/>
        <v/>
      </c>
      <c r="H9" s="59">
        <f t="shared" ca="1" si="2"/>
        <v>-2400</v>
      </c>
      <c r="I9" s="80" t="str">
        <f t="shared" ca="1" si="3"/>
        <v>Por vencer</v>
      </c>
      <c r="J9" s="56">
        <f t="shared" ca="1" si="4"/>
        <v>0</v>
      </c>
    </row>
    <row r="10" spans="1:10" x14ac:dyDescent="0.25">
      <c r="A10" s="67" t="str">
        <f>IF(Fijos!$C9="","",Fijos!$A9)</f>
        <v>F03</v>
      </c>
      <c r="B10" s="21" t="str">
        <f>IF(Fijos!$C9="","",Fijos!$B9)</f>
        <v>Deudas y tarjetas</v>
      </c>
      <c r="C10" s="16" t="str">
        <f>IF(Fijos!$C9="","",Fijos!$C9)</f>
        <v>Pago Perfume</v>
      </c>
      <c r="D10" s="52">
        <f ca="1">IF($C10="","",IF(Fijos!$I9="No",0,IF(OR(Fijos!$G9="Ambas",Fijos!$G9=INDEX(Quincenas!$D$7:$D$30,Q_Activa)),Fijos!$D9,0)))</f>
        <v>400</v>
      </c>
      <c r="E10" s="33">
        <f ca="1">IF($C10="","",IF($D10=0,"",IF(Fijos!$F9="Quincenal",INDEX(Quincenas!$F$7:$F$30,Q_Activa),DATE(Anio,INDEX(Quincenas!$C$7:$C$30,Q_Activa),MIN(Fijos!$E9,DAY(INDEX(Quincenas!$F$7:$F$30,Q_Activa)))))))</f>
        <v>46265</v>
      </c>
      <c r="F10" s="52">
        <f t="shared" ca="1" si="0"/>
        <v>0</v>
      </c>
      <c r="G10" s="33" t="str">
        <f t="shared" ca="1" si="1"/>
        <v/>
      </c>
      <c r="H10" s="52">
        <f t="shared" ca="1" si="2"/>
        <v>-400</v>
      </c>
      <c r="I10" s="80" t="str">
        <f t="shared" ca="1" si="3"/>
        <v>Por vencer</v>
      </c>
      <c r="J10" s="50">
        <f t="shared" ca="1" si="4"/>
        <v>0</v>
      </c>
    </row>
    <row r="11" spans="1:10" x14ac:dyDescent="0.25">
      <c r="A11" s="72" t="str">
        <f>IF(Fijos!$C10="","",Fijos!$A10)</f>
        <v>F04</v>
      </c>
      <c r="B11" s="55" t="str">
        <f>IF(Fijos!$C10="","",Fijos!$B10)</f>
        <v>Suscripciones</v>
      </c>
      <c r="C11" s="81" t="str">
        <f>IF(Fijos!$C10="","",Fijos!$C10)</f>
        <v>Streaming</v>
      </c>
      <c r="D11" s="59">
        <f ca="1">IF($C11="","",IF(Fijos!$I10="No",0,IF(OR(Fijos!$G10="Ambas",Fijos!$G10=INDEX(Quincenas!$D$7:$D$30,Q_Activa)),Fijos!$D10,0)))</f>
        <v>400</v>
      </c>
      <c r="E11" s="58">
        <f ca="1">IF($C11="","",IF($D11=0,"",IF(Fijos!$F10="Quincenal",INDEX(Quincenas!$F$7:$F$30,Q_Activa),DATE(Anio,INDEX(Quincenas!$C$7:$C$30,Q_Activa),MIN(Fijos!$E10,DAY(INDEX(Quincenas!$F$7:$F$30,Q_Activa)))))))</f>
        <v>46265</v>
      </c>
      <c r="F11" s="59">
        <f t="shared" ca="1" si="0"/>
        <v>0</v>
      </c>
      <c r="G11" s="58" t="str">
        <f t="shared" ca="1" si="1"/>
        <v/>
      </c>
      <c r="H11" s="59">
        <f t="shared" ca="1" si="2"/>
        <v>-400</v>
      </c>
      <c r="I11" s="80" t="str">
        <f t="shared" ca="1" si="3"/>
        <v>Por vencer</v>
      </c>
      <c r="J11" s="56">
        <f t="shared" ca="1" si="4"/>
        <v>0</v>
      </c>
    </row>
    <row r="12" spans="1:10" x14ac:dyDescent="0.25">
      <c r="A12" s="67" t="str">
        <f>IF(Fijos!$C11="","",Fijos!$A11)</f>
        <v>F05</v>
      </c>
      <c r="B12" s="21" t="str">
        <f>IF(Fijos!$C11="","",Fijos!$B11)</f>
        <v>Internet y teléfono</v>
      </c>
      <c r="C12" s="16" t="str">
        <f>IF(Fijos!$C11="","",Fijos!$C11)</f>
        <v>Telefono</v>
      </c>
      <c r="D12" s="52">
        <f ca="1">IF($C12="","",IF(Fijos!$I11="No",0,IF(OR(Fijos!$G11="Ambas",Fijos!$G11=INDEX(Quincenas!$D$7:$D$30,Q_Activa)),Fijos!$D11,0)))</f>
        <v>700</v>
      </c>
      <c r="E12" s="33">
        <f ca="1">IF($C12="","",IF($D12=0,"",IF(Fijos!$F11="Quincenal",INDEX(Quincenas!$F$7:$F$30,Q_Activa),DATE(Anio,INDEX(Quincenas!$C$7:$C$30,Q_Activa),MIN(Fijos!$E11,DAY(INDEX(Quincenas!$F$7:$F$30,Q_Activa)))))))</f>
        <v>46262</v>
      </c>
      <c r="F12" s="52">
        <f t="shared" ca="1" si="0"/>
        <v>0</v>
      </c>
      <c r="G12" s="33" t="str">
        <f t="shared" ca="1" si="1"/>
        <v/>
      </c>
      <c r="H12" s="52">
        <f t="shared" ca="1" si="2"/>
        <v>-700</v>
      </c>
      <c r="I12" s="80" t="str">
        <f t="shared" ca="1" si="3"/>
        <v>VENCIDO sin registrar</v>
      </c>
      <c r="J12" s="50">
        <f t="shared" ca="1" si="4"/>
        <v>-3</v>
      </c>
    </row>
    <row r="13" spans="1:10" x14ac:dyDescent="0.25">
      <c r="A13" s="72" t="str">
        <f>IF(Fijos!$C12="","",Fijos!$A12)</f>
        <v/>
      </c>
      <c r="B13" s="55" t="str">
        <f>IF(Fijos!$C12="","",Fijos!$B12)</f>
        <v/>
      </c>
      <c r="C13" s="81" t="str">
        <f>IF(Fijos!$C12="","",Fijos!$C12)</f>
        <v/>
      </c>
      <c r="D13" s="59" t="str">
        <f>IF($C13="","",IF(Fijos!$I12="No",0,IF(OR(Fijos!$G12="Ambas",Fijos!$G12=INDEX(Quincenas!$D$7:$D$30,Q_Activa)),Fijos!$D12,0)))</f>
        <v/>
      </c>
      <c r="E13" s="58" t="str">
        <f>IF($C13="","",IF($D13=0,"",IF(Fijos!$F12="Quincenal",INDEX(Quincenas!$F$7:$F$30,Q_Activa),DATE(Anio,INDEX(Quincenas!$C$7:$C$30,Q_Activa),MIN(Fijos!$E12,DAY(INDEX(Quincenas!$F$7:$F$30,Q_Activa)))))))</f>
        <v/>
      </c>
      <c r="F13" s="59" t="str">
        <f t="shared" si="0"/>
        <v/>
      </c>
      <c r="G13" s="58" t="str">
        <f t="shared" si="1"/>
        <v/>
      </c>
      <c r="H13" s="59" t="str">
        <f t="shared" si="2"/>
        <v/>
      </c>
      <c r="I13" s="80" t="str">
        <f t="shared" ca="1" si="3"/>
        <v/>
      </c>
      <c r="J13" s="56" t="str">
        <f t="shared" ca="1" si="4"/>
        <v/>
      </c>
    </row>
    <row r="14" spans="1:10" x14ac:dyDescent="0.25">
      <c r="A14" s="67" t="str">
        <f>IF(Fijos!$C13="","",Fijos!$A13)</f>
        <v/>
      </c>
      <c r="B14" s="21" t="str">
        <f>IF(Fijos!$C13="","",Fijos!$B13)</f>
        <v/>
      </c>
      <c r="C14" s="16" t="str">
        <f>IF(Fijos!$C13="","",Fijos!$C13)</f>
        <v/>
      </c>
      <c r="D14" s="52" t="str">
        <f>IF($C14="","",IF(Fijos!$I13="No",0,IF(OR(Fijos!$G13="Ambas",Fijos!$G13=INDEX(Quincenas!$D$7:$D$30,Q_Activa)),Fijos!$D13,0)))</f>
        <v/>
      </c>
      <c r="E14" s="33" t="str">
        <f>IF($C14="","",IF($D14=0,"",IF(Fijos!$F13="Quincenal",INDEX(Quincenas!$F$7:$F$30,Q_Activa),DATE(Anio,INDEX(Quincenas!$C$7:$C$30,Q_Activa),MIN(Fijos!$E13,DAY(INDEX(Quincenas!$F$7:$F$30,Q_Activa)))))))</f>
        <v/>
      </c>
      <c r="F14" s="52" t="str">
        <f t="shared" si="0"/>
        <v/>
      </c>
      <c r="G14" s="33" t="str">
        <f t="shared" si="1"/>
        <v/>
      </c>
      <c r="H14" s="52" t="str">
        <f t="shared" si="2"/>
        <v/>
      </c>
      <c r="I14" s="80" t="str">
        <f t="shared" ca="1" si="3"/>
        <v/>
      </c>
      <c r="J14" s="50" t="str">
        <f t="shared" ca="1" si="4"/>
        <v/>
      </c>
    </row>
    <row r="15" spans="1:10" x14ac:dyDescent="0.25">
      <c r="A15" s="72" t="str">
        <f>IF(Fijos!$C14="","",Fijos!$A14)</f>
        <v/>
      </c>
      <c r="B15" s="55" t="str">
        <f>IF(Fijos!$C14="","",Fijos!$B14)</f>
        <v/>
      </c>
      <c r="C15" s="81" t="str">
        <f>IF(Fijos!$C14="","",Fijos!$C14)</f>
        <v/>
      </c>
      <c r="D15" s="59" t="str">
        <f>IF($C15="","",IF(Fijos!$I14="No",0,IF(OR(Fijos!$G14="Ambas",Fijos!$G14=INDEX(Quincenas!$D$7:$D$30,Q_Activa)),Fijos!$D14,0)))</f>
        <v/>
      </c>
      <c r="E15" s="58" t="str">
        <f>IF($C15="","",IF($D15=0,"",IF(Fijos!$F14="Quincenal",INDEX(Quincenas!$F$7:$F$30,Q_Activa),DATE(Anio,INDEX(Quincenas!$C$7:$C$30,Q_Activa),MIN(Fijos!$E14,DAY(INDEX(Quincenas!$F$7:$F$30,Q_Activa)))))))</f>
        <v/>
      </c>
      <c r="F15" s="59" t="str">
        <f t="shared" si="0"/>
        <v/>
      </c>
      <c r="G15" s="58" t="str">
        <f t="shared" si="1"/>
        <v/>
      </c>
      <c r="H15" s="59" t="str">
        <f t="shared" si="2"/>
        <v/>
      </c>
      <c r="I15" s="80" t="str">
        <f t="shared" ca="1" si="3"/>
        <v/>
      </c>
      <c r="J15" s="56" t="str">
        <f t="shared" ca="1" si="4"/>
        <v/>
      </c>
    </row>
    <row r="16" spans="1:10" x14ac:dyDescent="0.25">
      <c r="A16" s="67" t="str">
        <f>IF(Fijos!$C15="","",Fijos!$A15)</f>
        <v/>
      </c>
      <c r="B16" s="21" t="str">
        <f>IF(Fijos!$C15="","",Fijos!$B15)</f>
        <v/>
      </c>
      <c r="C16" s="16" t="str">
        <f>IF(Fijos!$C15="","",Fijos!$C15)</f>
        <v/>
      </c>
      <c r="D16" s="52" t="str">
        <f>IF($C16="","",IF(Fijos!$I15="No",0,IF(OR(Fijos!$G15="Ambas",Fijos!$G15=INDEX(Quincenas!$D$7:$D$30,Q_Activa)),Fijos!$D15,0)))</f>
        <v/>
      </c>
      <c r="E16" s="33" t="str">
        <f>IF($C16="","",IF($D16=0,"",IF(Fijos!$F15="Quincenal",INDEX(Quincenas!$F$7:$F$30,Q_Activa),DATE(Anio,INDEX(Quincenas!$C$7:$C$30,Q_Activa),MIN(Fijos!$E15,DAY(INDEX(Quincenas!$F$7:$F$30,Q_Activa)))))))</f>
        <v/>
      </c>
      <c r="F16" s="52" t="str">
        <f t="shared" si="0"/>
        <v/>
      </c>
      <c r="G16" s="33" t="str">
        <f t="shared" si="1"/>
        <v/>
      </c>
      <c r="H16" s="52" t="str">
        <f t="shared" si="2"/>
        <v/>
      </c>
      <c r="I16" s="80" t="str">
        <f t="shared" ca="1" si="3"/>
        <v/>
      </c>
      <c r="J16" s="50" t="str">
        <f t="shared" ca="1" si="4"/>
        <v/>
      </c>
    </row>
    <row r="17" spans="1:10" x14ac:dyDescent="0.25">
      <c r="A17" s="72" t="str">
        <f>IF(Fijos!$C16="","",Fijos!$A16)</f>
        <v/>
      </c>
      <c r="B17" s="55" t="str">
        <f>IF(Fijos!$C16="","",Fijos!$B16)</f>
        <v/>
      </c>
      <c r="C17" s="81" t="str">
        <f>IF(Fijos!$C16="","",Fijos!$C16)</f>
        <v/>
      </c>
      <c r="D17" s="59" t="str">
        <f>IF($C17="","",IF(Fijos!$I16="No",0,IF(OR(Fijos!$G16="Ambas",Fijos!$G16=INDEX(Quincenas!$D$7:$D$30,Q_Activa)),Fijos!$D16,0)))</f>
        <v/>
      </c>
      <c r="E17" s="58" t="str">
        <f>IF($C17="","",IF($D17=0,"",IF(Fijos!$F16="Quincenal",INDEX(Quincenas!$F$7:$F$30,Q_Activa),DATE(Anio,INDEX(Quincenas!$C$7:$C$30,Q_Activa),MIN(Fijos!$E16,DAY(INDEX(Quincenas!$F$7:$F$30,Q_Activa)))))))</f>
        <v/>
      </c>
      <c r="F17" s="59" t="str">
        <f t="shared" si="0"/>
        <v/>
      </c>
      <c r="G17" s="58" t="str">
        <f t="shared" si="1"/>
        <v/>
      </c>
      <c r="H17" s="59" t="str">
        <f t="shared" si="2"/>
        <v/>
      </c>
      <c r="I17" s="80" t="str">
        <f t="shared" ca="1" si="3"/>
        <v/>
      </c>
      <c r="J17" s="56" t="str">
        <f t="shared" ca="1" si="4"/>
        <v/>
      </c>
    </row>
    <row r="18" spans="1:10" x14ac:dyDescent="0.25">
      <c r="A18" s="67" t="str">
        <f>IF(Fijos!$C17="","",Fijos!$A17)</f>
        <v/>
      </c>
      <c r="B18" s="21" t="str">
        <f>IF(Fijos!$C17="","",Fijos!$B17)</f>
        <v/>
      </c>
      <c r="C18" s="16" t="str">
        <f>IF(Fijos!$C17="","",Fijos!$C17)</f>
        <v/>
      </c>
      <c r="D18" s="52" t="str">
        <f>IF($C18="","",IF(Fijos!$I17="No",0,IF(OR(Fijos!$G17="Ambas",Fijos!$G17=INDEX(Quincenas!$D$7:$D$30,Q_Activa)),Fijos!$D17,0)))</f>
        <v/>
      </c>
      <c r="E18" s="33" t="str">
        <f>IF($C18="","",IF($D18=0,"",IF(Fijos!$F17="Quincenal",INDEX(Quincenas!$F$7:$F$30,Q_Activa),DATE(Anio,INDEX(Quincenas!$C$7:$C$30,Q_Activa),MIN(Fijos!$E17,DAY(INDEX(Quincenas!$F$7:$F$30,Q_Activa)))))))</f>
        <v/>
      </c>
      <c r="F18" s="52" t="str">
        <f t="shared" si="0"/>
        <v/>
      </c>
      <c r="G18" s="33" t="str">
        <f t="shared" si="1"/>
        <v/>
      </c>
      <c r="H18" s="52" t="str">
        <f t="shared" si="2"/>
        <v/>
      </c>
      <c r="I18" s="80" t="str">
        <f t="shared" ca="1" si="3"/>
        <v/>
      </c>
      <c r="J18" s="50" t="str">
        <f t="shared" ca="1" si="4"/>
        <v/>
      </c>
    </row>
    <row r="19" spans="1:10" x14ac:dyDescent="0.25">
      <c r="A19" s="72" t="str">
        <f>IF(Fijos!$C18="","",Fijos!$A18)</f>
        <v/>
      </c>
      <c r="B19" s="55" t="str">
        <f>IF(Fijos!$C18="","",Fijos!$B18)</f>
        <v/>
      </c>
      <c r="C19" s="81" t="str">
        <f>IF(Fijos!$C18="","",Fijos!$C18)</f>
        <v/>
      </c>
      <c r="D19" s="59" t="str">
        <f>IF($C19="","",IF(Fijos!$I18="No",0,IF(OR(Fijos!$G18="Ambas",Fijos!$G18=INDEX(Quincenas!$D$7:$D$30,Q_Activa)),Fijos!$D18,0)))</f>
        <v/>
      </c>
      <c r="E19" s="58" t="str">
        <f>IF($C19="","",IF($D19=0,"",IF(Fijos!$F18="Quincenal",INDEX(Quincenas!$F$7:$F$30,Q_Activa),DATE(Anio,INDEX(Quincenas!$C$7:$C$30,Q_Activa),MIN(Fijos!$E18,DAY(INDEX(Quincenas!$F$7:$F$30,Q_Activa)))))))</f>
        <v/>
      </c>
      <c r="F19" s="59" t="str">
        <f t="shared" si="0"/>
        <v/>
      </c>
      <c r="G19" s="58" t="str">
        <f t="shared" si="1"/>
        <v/>
      </c>
      <c r="H19" s="59" t="str">
        <f t="shared" si="2"/>
        <v/>
      </c>
      <c r="I19" s="80" t="str">
        <f t="shared" ca="1" si="3"/>
        <v/>
      </c>
      <c r="J19" s="56" t="str">
        <f t="shared" ca="1" si="4"/>
        <v/>
      </c>
    </row>
    <row r="20" spans="1:10" x14ac:dyDescent="0.25">
      <c r="A20" s="67" t="str">
        <f>IF(Fijos!$C19="","",Fijos!$A19)</f>
        <v/>
      </c>
      <c r="B20" s="21" t="str">
        <f>IF(Fijos!$C19="","",Fijos!$B19)</f>
        <v/>
      </c>
      <c r="C20" s="16" t="str">
        <f>IF(Fijos!$C19="","",Fijos!$C19)</f>
        <v/>
      </c>
      <c r="D20" s="52" t="str">
        <f>IF($C20="","",IF(Fijos!$I19="No",0,IF(OR(Fijos!$G19="Ambas",Fijos!$G19=INDEX(Quincenas!$D$7:$D$30,Q_Activa)),Fijos!$D19,0)))</f>
        <v/>
      </c>
      <c r="E20" s="33" t="str">
        <f>IF($C20="","",IF($D20=0,"",IF(Fijos!$F19="Quincenal",INDEX(Quincenas!$F$7:$F$30,Q_Activa),DATE(Anio,INDEX(Quincenas!$C$7:$C$30,Q_Activa),MIN(Fijos!$E19,DAY(INDEX(Quincenas!$F$7:$F$30,Q_Activa)))))))</f>
        <v/>
      </c>
      <c r="F20" s="52" t="str">
        <f t="shared" si="0"/>
        <v/>
      </c>
      <c r="G20" s="33" t="str">
        <f t="shared" si="1"/>
        <v/>
      </c>
      <c r="H20" s="52" t="str">
        <f t="shared" si="2"/>
        <v/>
      </c>
      <c r="I20" s="80" t="str">
        <f t="shared" ca="1" si="3"/>
        <v/>
      </c>
      <c r="J20" s="50" t="str">
        <f t="shared" ca="1" si="4"/>
        <v/>
      </c>
    </row>
    <row r="21" spans="1:10" x14ac:dyDescent="0.25">
      <c r="A21" s="72" t="str">
        <f>IF(Fijos!$C20="","",Fijos!$A20)</f>
        <v/>
      </c>
      <c r="B21" s="55" t="str">
        <f>IF(Fijos!$C20="","",Fijos!$B20)</f>
        <v/>
      </c>
      <c r="C21" s="81" t="str">
        <f>IF(Fijos!$C20="","",Fijos!$C20)</f>
        <v/>
      </c>
      <c r="D21" s="59" t="str">
        <f>IF($C21="","",IF(Fijos!$I20="No",0,IF(OR(Fijos!$G20="Ambas",Fijos!$G20=INDEX(Quincenas!$D$7:$D$30,Q_Activa)),Fijos!$D20,0)))</f>
        <v/>
      </c>
      <c r="E21" s="58" t="str">
        <f>IF($C21="","",IF($D21=0,"",IF(Fijos!$F20="Quincenal",INDEX(Quincenas!$F$7:$F$30,Q_Activa),DATE(Anio,INDEX(Quincenas!$C$7:$C$30,Q_Activa),MIN(Fijos!$E20,DAY(INDEX(Quincenas!$F$7:$F$30,Q_Activa)))))))</f>
        <v/>
      </c>
      <c r="F21" s="59" t="str">
        <f t="shared" si="0"/>
        <v/>
      </c>
      <c r="G21" s="58" t="str">
        <f t="shared" si="1"/>
        <v/>
      </c>
      <c r="H21" s="59" t="str">
        <f t="shared" si="2"/>
        <v/>
      </c>
      <c r="I21" s="80" t="str">
        <f t="shared" ca="1" si="3"/>
        <v/>
      </c>
      <c r="J21" s="56" t="str">
        <f t="shared" ca="1" si="4"/>
        <v/>
      </c>
    </row>
    <row r="22" spans="1:10" x14ac:dyDescent="0.25">
      <c r="A22" s="67" t="str">
        <f>IF(Fijos!$C21="","",Fijos!$A21)</f>
        <v/>
      </c>
      <c r="B22" s="21" t="str">
        <f>IF(Fijos!$C21="","",Fijos!$B21)</f>
        <v/>
      </c>
      <c r="C22" s="16" t="str">
        <f>IF(Fijos!$C21="","",Fijos!$C21)</f>
        <v/>
      </c>
      <c r="D22" s="52" t="str">
        <f>IF($C22="","",IF(Fijos!$I21="No",0,IF(OR(Fijos!$G21="Ambas",Fijos!$G21=INDEX(Quincenas!$D$7:$D$30,Q_Activa)),Fijos!$D21,0)))</f>
        <v/>
      </c>
      <c r="E22" s="33" t="str">
        <f>IF($C22="","",IF($D22=0,"",IF(Fijos!$F21="Quincenal",INDEX(Quincenas!$F$7:$F$30,Q_Activa),DATE(Anio,INDEX(Quincenas!$C$7:$C$30,Q_Activa),MIN(Fijos!$E21,DAY(INDEX(Quincenas!$F$7:$F$30,Q_Activa)))))))</f>
        <v/>
      </c>
      <c r="F22" s="52" t="str">
        <f t="shared" si="0"/>
        <v/>
      </c>
      <c r="G22" s="33" t="str">
        <f t="shared" si="1"/>
        <v/>
      </c>
      <c r="H22" s="52" t="str">
        <f t="shared" si="2"/>
        <v/>
      </c>
      <c r="I22" s="80" t="str">
        <f t="shared" ca="1" si="3"/>
        <v/>
      </c>
      <c r="J22" s="50" t="str">
        <f t="shared" ca="1" si="4"/>
        <v/>
      </c>
    </row>
    <row r="23" spans="1:10" x14ac:dyDescent="0.25">
      <c r="A23" s="72" t="str">
        <f>IF(Fijos!$C22="","",Fijos!$A22)</f>
        <v/>
      </c>
      <c r="B23" s="55" t="str">
        <f>IF(Fijos!$C22="","",Fijos!$B22)</f>
        <v/>
      </c>
      <c r="C23" s="81" t="str">
        <f>IF(Fijos!$C22="","",Fijos!$C22)</f>
        <v/>
      </c>
      <c r="D23" s="59" t="str">
        <f>IF($C23="","",IF(Fijos!$I22="No",0,IF(OR(Fijos!$G22="Ambas",Fijos!$G22=INDEX(Quincenas!$D$7:$D$30,Q_Activa)),Fijos!$D22,0)))</f>
        <v/>
      </c>
      <c r="E23" s="58" t="str">
        <f>IF($C23="","",IF($D23=0,"",IF(Fijos!$F22="Quincenal",INDEX(Quincenas!$F$7:$F$30,Q_Activa),DATE(Anio,INDEX(Quincenas!$C$7:$C$30,Q_Activa),MIN(Fijos!$E22,DAY(INDEX(Quincenas!$F$7:$F$30,Q_Activa)))))))</f>
        <v/>
      </c>
      <c r="F23" s="59" t="str">
        <f t="shared" si="0"/>
        <v/>
      </c>
      <c r="G23" s="58" t="str">
        <f t="shared" si="1"/>
        <v/>
      </c>
      <c r="H23" s="59" t="str">
        <f t="shared" si="2"/>
        <v/>
      </c>
      <c r="I23" s="80" t="str">
        <f t="shared" ca="1" si="3"/>
        <v/>
      </c>
      <c r="J23" s="56" t="str">
        <f t="shared" ca="1" si="4"/>
        <v/>
      </c>
    </row>
    <row r="24" spans="1:10" x14ac:dyDescent="0.25">
      <c r="A24" s="67" t="str">
        <f>IF(Fijos!$C23="","",Fijos!$A23)</f>
        <v/>
      </c>
      <c r="B24" s="21" t="str">
        <f>IF(Fijos!$C23="","",Fijos!$B23)</f>
        <v/>
      </c>
      <c r="C24" s="16" t="str">
        <f>IF(Fijos!$C23="","",Fijos!$C23)</f>
        <v/>
      </c>
      <c r="D24" s="52" t="str">
        <f>IF($C24="","",IF(Fijos!$I23="No",0,IF(OR(Fijos!$G23="Ambas",Fijos!$G23=INDEX(Quincenas!$D$7:$D$30,Q_Activa)),Fijos!$D23,0)))</f>
        <v/>
      </c>
      <c r="E24" s="33" t="str">
        <f>IF($C24="","",IF($D24=0,"",IF(Fijos!$F23="Quincenal",INDEX(Quincenas!$F$7:$F$30,Q_Activa),DATE(Anio,INDEX(Quincenas!$C$7:$C$30,Q_Activa),MIN(Fijos!$E23,DAY(INDEX(Quincenas!$F$7:$F$30,Q_Activa)))))))</f>
        <v/>
      </c>
      <c r="F24" s="52" t="str">
        <f t="shared" si="0"/>
        <v/>
      </c>
      <c r="G24" s="33" t="str">
        <f t="shared" si="1"/>
        <v/>
      </c>
      <c r="H24" s="52" t="str">
        <f t="shared" si="2"/>
        <v/>
      </c>
      <c r="I24" s="80" t="str">
        <f t="shared" ca="1" si="3"/>
        <v/>
      </c>
      <c r="J24" s="50" t="str">
        <f t="shared" ca="1" si="4"/>
        <v/>
      </c>
    </row>
    <row r="25" spans="1:10" x14ac:dyDescent="0.25">
      <c r="A25" s="72" t="str">
        <f>IF(Fijos!$C24="","",Fijos!$A24)</f>
        <v/>
      </c>
      <c r="B25" s="55" t="str">
        <f>IF(Fijos!$C24="","",Fijos!$B24)</f>
        <v/>
      </c>
      <c r="C25" s="81" t="str">
        <f>IF(Fijos!$C24="","",Fijos!$C24)</f>
        <v/>
      </c>
      <c r="D25" s="59" t="str">
        <f>IF($C25="","",IF(Fijos!$I24="No",0,IF(OR(Fijos!$G24="Ambas",Fijos!$G24=INDEX(Quincenas!$D$7:$D$30,Q_Activa)),Fijos!$D24,0)))</f>
        <v/>
      </c>
      <c r="E25" s="58" t="str">
        <f>IF($C25="","",IF($D25=0,"",IF(Fijos!$F24="Quincenal",INDEX(Quincenas!$F$7:$F$30,Q_Activa),DATE(Anio,INDEX(Quincenas!$C$7:$C$30,Q_Activa),MIN(Fijos!$E24,DAY(INDEX(Quincenas!$F$7:$F$30,Q_Activa)))))))</f>
        <v/>
      </c>
      <c r="F25" s="59" t="str">
        <f t="shared" si="0"/>
        <v/>
      </c>
      <c r="G25" s="58" t="str">
        <f t="shared" si="1"/>
        <v/>
      </c>
      <c r="H25" s="59" t="str">
        <f t="shared" si="2"/>
        <v/>
      </c>
      <c r="I25" s="80" t="str">
        <f t="shared" ca="1" si="3"/>
        <v/>
      </c>
      <c r="J25" s="56" t="str">
        <f t="shared" ca="1" si="4"/>
        <v/>
      </c>
    </row>
    <row r="26" spans="1:10" x14ac:dyDescent="0.25">
      <c r="A26" s="67" t="str">
        <f>IF(Fijos!$C25="","",Fijos!$A25)</f>
        <v/>
      </c>
      <c r="B26" s="21" t="str">
        <f>IF(Fijos!$C25="","",Fijos!$B25)</f>
        <v/>
      </c>
      <c r="C26" s="16" t="str">
        <f>IF(Fijos!$C25="","",Fijos!$C25)</f>
        <v/>
      </c>
      <c r="D26" s="52" t="str">
        <f>IF($C26="","",IF(Fijos!$I25="No",0,IF(OR(Fijos!$G25="Ambas",Fijos!$G25=INDEX(Quincenas!$D$7:$D$30,Q_Activa)),Fijos!$D25,0)))</f>
        <v/>
      </c>
      <c r="E26" s="33" t="str">
        <f>IF($C26="","",IF($D26=0,"",IF(Fijos!$F25="Quincenal",INDEX(Quincenas!$F$7:$F$30,Q_Activa),DATE(Anio,INDEX(Quincenas!$C$7:$C$30,Q_Activa),MIN(Fijos!$E25,DAY(INDEX(Quincenas!$F$7:$F$30,Q_Activa)))))))</f>
        <v/>
      </c>
      <c r="F26" s="52" t="str">
        <f t="shared" si="0"/>
        <v/>
      </c>
      <c r="G26" s="33" t="str">
        <f t="shared" si="1"/>
        <v/>
      </c>
      <c r="H26" s="52" t="str">
        <f t="shared" si="2"/>
        <v/>
      </c>
      <c r="I26" s="80" t="str">
        <f t="shared" ca="1" si="3"/>
        <v/>
      </c>
      <c r="J26" s="50" t="str">
        <f t="shared" ca="1" si="4"/>
        <v/>
      </c>
    </row>
    <row r="27" spans="1:10" x14ac:dyDescent="0.25">
      <c r="A27" s="72" t="str">
        <f>IF(Fijos!$C26="","",Fijos!$A26)</f>
        <v/>
      </c>
      <c r="B27" s="55" t="str">
        <f>IF(Fijos!$C26="","",Fijos!$B26)</f>
        <v/>
      </c>
      <c r="C27" s="81" t="str">
        <f>IF(Fijos!$C26="","",Fijos!$C26)</f>
        <v/>
      </c>
      <c r="D27" s="59" t="str">
        <f>IF($C27="","",IF(Fijos!$I26="No",0,IF(OR(Fijos!$G26="Ambas",Fijos!$G26=INDEX(Quincenas!$D$7:$D$30,Q_Activa)),Fijos!$D26,0)))</f>
        <v/>
      </c>
      <c r="E27" s="58" t="str">
        <f>IF($C27="","",IF($D27=0,"",IF(Fijos!$F26="Quincenal",INDEX(Quincenas!$F$7:$F$30,Q_Activa),DATE(Anio,INDEX(Quincenas!$C$7:$C$30,Q_Activa),MIN(Fijos!$E26,DAY(INDEX(Quincenas!$F$7:$F$30,Q_Activa)))))))</f>
        <v/>
      </c>
      <c r="F27" s="59" t="str">
        <f t="shared" si="0"/>
        <v/>
      </c>
      <c r="G27" s="58" t="str">
        <f t="shared" si="1"/>
        <v/>
      </c>
      <c r="H27" s="59" t="str">
        <f t="shared" si="2"/>
        <v/>
      </c>
      <c r="I27" s="80" t="str">
        <f t="shared" ca="1" si="3"/>
        <v/>
      </c>
      <c r="J27" s="56" t="str">
        <f t="shared" ca="1" si="4"/>
        <v/>
      </c>
    </row>
    <row r="28" spans="1:10" x14ac:dyDescent="0.25">
      <c r="A28" s="67" t="str">
        <f>IF(Fijos!$C27="","",Fijos!$A27)</f>
        <v/>
      </c>
      <c r="B28" s="21" t="str">
        <f>IF(Fijos!$C27="","",Fijos!$B27)</f>
        <v/>
      </c>
      <c r="C28" s="16" t="str">
        <f>IF(Fijos!$C27="","",Fijos!$C27)</f>
        <v/>
      </c>
      <c r="D28" s="52" t="str">
        <f>IF($C28="","",IF(Fijos!$I27="No",0,IF(OR(Fijos!$G27="Ambas",Fijos!$G27=INDEX(Quincenas!$D$7:$D$30,Q_Activa)),Fijos!$D27,0)))</f>
        <v/>
      </c>
      <c r="E28" s="33" t="str">
        <f>IF($C28="","",IF($D28=0,"",IF(Fijos!$F27="Quincenal",INDEX(Quincenas!$F$7:$F$30,Q_Activa),DATE(Anio,INDEX(Quincenas!$C$7:$C$30,Q_Activa),MIN(Fijos!$E27,DAY(INDEX(Quincenas!$F$7:$F$30,Q_Activa)))))))</f>
        <v/>
      </c>
      <c r="F28" s="52" t="str">
        <f t="shared" si="0"/>
        <v/>
      </c>
      <c r="G28" s="33" t="str">
        <f t="shared" si="1"/>
        <v/>
      </c>
      <c r="H28" s="52" t="str">
        <f t="shared" si="2"/>
        <v/>
      </c>
      <c r="I28" s="80" t="str">
        <f t="shared" ca="1" si="3"/>
        <v/>
      </c>
      <c r="J28" s="50" t="str">
        <f t="shared" ca="1" si="4"/>
        <v/>
      </c>
    </row>
    <row r="29" spans="1:10" x14ac:dyDescent="0.25">
      <c r="A29" s="72" t="str">
        <f>IF(Fijos!$C28="","",Fijos!$A28)</f>
        <v/>
      </c>
      <c r="B29" s="55" t="str">
        <f>IF(Fijos!$C28="","",Fijos!$B28)</f>
        <v/>
      </c>
      <c r="C29" s="81" t="str">
        <f>IF(Fijos!$C28="","",Fijos!$C28)</f>
        <v/>
      </c>
      <c r="D29" s="59" t="str">
        <f>IF($C29="","",IF(Fijos!$I28="No",0,IF(OR(Fijos!$G28="Ambas",Fijos!$G28=INDEX(Quincenas!$D$7:$D$30,Q_Activa)),Fijos!$D28,0)))</f>
        <v/>
      </c>
      <c r="E29" s="58" t="str">
        <f>IF($C29="","",IF($D29=0,"",IF(Fijos!$F28="Quincenal",INDEX(Quincenas!$F$7:$F$30,Q_Activa),DATE(Anio,INDEX(Quincenas!$C$7:$C$30,Q_Activa),MIN(Fijos!$E28,DAY(INDEX(Quincenas!$F$7:$F$30,Q_Activa)))))))</f>
        <v/>
      </c>
      <c r="F29" s="59" t="str">
        <f t="shared" si="0"/>
        <v/>
      </c>
      <c r="G29" s="58" t="str">
        <f t="shared" si="1"/>
        <v/>
      </c>
      <c r="H29" s="59" t="str">
        <f t="shared" si="2"/>
        <v/>
      </c>
      <c r="I29" s="80" t="str">
        <f t="shared" ca="1" si="3"/>
        <v/>
      </c>
      <c r="J29" s="56" t="str">
        <f t="shared" ca="1" si="4"/>
        <v/>
      </c>
    </row>
    <row r="30" spans="1:10" x14ac:dyDescent="0.25">
      <c r="A30" s="2" t="s">
        <v>205</v>
      </c>
      <c r="B30" s="2"/>
      <c r="C30" s="2"/>
      <c r="D30" s="63">
        <f ca="1">SUM(D8:D29)</f>
        <v>6400</v>
      </c>
      <c r="E30" s="73"/>
      <c r="F30" s="63">
        <f ca="1">SUM(F8:F29)</f>
        <v>0</v>
      </c>
      <c r="G30" s="73"/>
      <c r="H30" s="63">
        <f ca="1">SUM(H8:H29)</f>
        <v>-6400</v>
      </c>
      <c r="I30" s="73"/>
      <c r="J30" s="73"/>
    </row>
    <row r="32" spans="1:10" ht="19.5" customHeight="1" x14ac:dyDescent="0.25">
      <c r="B32" s="11" t="s">
        <v>206</v>
      </c>
      <c r="C32" s="11"/>
      <c r="D32" s="11"/>
      <c r="E32" s="11"/>
      <c r="F32" s="11"/>
    </row>
    <row r="33" spans="2:6" x14ac:dyDescent="0.25">
      <c r="B33" s="8" t="s">
        <v>207</v>
      </c>
      <c r="C33" s="8"/>
      <c r="D33" s="24">
        <f ca="1">SUM($D$8:$D$29)</f>
        <v>6400</v>
      </c>
      <c r="E33" s="25"/>
      <c r="F33" s="25"/>
    </row>
    <row r="34" spans="2:6" x14ac:dyDescent="0.25">
      <c r="B34" s="8" t="s">
        <v>208</v>
      </c>
      <c r="C34" s="8"/>
      <c r="D34" s="24">
        <f ca="1">SUM($F$8:$F$29)</f>
        <v>0</v>
      </c>
      <c r="E34" s="25"/>
      <c r="F34" s="25"/>
    </row>
    <row r="35" spans="2:6" x14ac:dyDescent="0.25">
      <c r="B35" s="8" t="s">
        <v>209</v>
      </c>
      <c r="C35" s="8"/>
      <c r="D35" s="24">
        <f ca="1">$D$33-$D$34</f>
        <v>6400</v>
      </c>
      <c r="E35" s="25"/>
      <c r="F35" s="25"/>
    </row>
    <row r="36" spans="2:6" x14ac:dyDescent="0.25">
      <c r="B36" s="8" t="s">
        <v>210</v>
      </c>
      <c r="C36" s="8"/>
      <c r="D36" s="27">
        <f ca="1">COUNTIF($I$8:$I$29,"VENCIDO sin registrar")</f>
        <v>1</v>
      </c>
      <c r="E36" s="25"/>
      <c r="F36" s="25"/>
    </row>
    <row r="37" spans="2:6" x14ac:dyDescent="0.25">
      <c r="B37" s="8" t="s">
        <v>211</v>
      </c>
      <c r="C37" s="8"/>
      <c r="D37" s="27">
        <f ca="1">COUNTIF($I$8:$I$29,"Por vencer")</f>
        <v>4</v>
      </c>
      <c r="E37" s="25"/>
      <c r="F37" s="25"/>
    </row>
    <row r="38" spans="2:6" x14ac:dyDescent="0.25">
      <c r="B38" s="8" t="s">
        <v>212</v>
      </c>
      <c r="C38" s="8"/>
      <c r="D38" s="27">
        <f ca="1">COUNTIF($I$8:$I$29,"Pagado*")</f>
        <v>0</v>
      </c>
      <c r="E38" s="25"/>
      <c r="F38" s="25"/>
    </row>
    <row r="39" spans="2:6" x14ac:dyDescent="0.25">
      <c r="B39" s="8" t="s">
        <v>213</v>
      </c>
      <c r="C39" s="8"/>
      <c r="D39" s="27">
        <f ca="1">COUNTIF($I$8:$I$29,"Pendiente")</f>
        <v>0</v>
      </c>
      <c r="E39" s="25"/>
      <c r="F39" s="25"/>
    </row>
  </sheetData>
  <mergeCells count="10">
    <mergeCell ref="B35:C35"/>
    <mergeCell ref="B36:C36"/>
    <mergeCell ref="B37:C37"/>
    <mergeCell ref="B38:C38"/>
    <mergeCell ref="B39:C39"/>
    <mergeCell ref="A1:J1"/>
    <mergeCell ref="A30:C30"/>
    <mergeCell ref="B32:F32"/>
    <mergeCell ref="B33:C33"/>
    <mergeCell ref="B34:C34"/>
  </mergeCells>
  <conditionalFormatting sqref="D36:D37">
    <cfRule type="cellIs" dxfId="17" priority="9" operator="greaterThan">
      <formula>0</formula>
    </cfRule>
  </conditionalFormatting>
  <conditionalFormatting sqref="H8:H29">
    <cfRule type="cellIs" dxfId="16" priority="8" operator="lessThan">
      <formula>-0.99</formula>
    </cfRule>
  </conditionalFormatting>
  <conditionalFormatting sqref="I8:I29">
    <cfRule type="expression" dxfId="15" priority="2">
      <formula>$I8="VENCIDO sin registrar"</formula>
    </cfRule>
    <cfRule type="expression" dxfId="14" priority="3">
      <formula>$I8="Por vencer"</formula>
    </cfRule>
    <cfRule type="expression" dxfId="13" priority="4">
      <formula>$I8="Pendiente"</formula>
    </cfRule>
    <cfRule type="expression" dxfId="12" priority="5">
      <formula>LEFT($I8,6)="Pagado"</formula>
    </cfRule>
    <cfRule type="expression" dxfId="11" priority="6">
      <formula>$I8="No aplica"</formula>
    </cfRule>
  </conditionalFormatting>
  <conditionalFormatting sqref="J8:J29">
    <cfRule type="cellIs" dxfId="10" priority="7" operator="lessThan">
      <formula>0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BF8F00"/>
    <pageSetUpPr fitToPage="1"/>
  </sheetPr>
  <dimension ref="A1:AC32"/>
  <sheetViews>
    <sheetView showGridLines="0"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G24" sqref="G24"/>
    </sheetView>
  </sheetViews>
  <sheetFormatPr baseColWidth="10" defaultColWidth="8.7109375" defaultRowHeight="15" x14ac:dyDescent="0.25"/>
  <cols>
    <col min="1" max="1" width="8" customWidth="1"/>
    <col min="2" max="2" width="30" customWidth="1"/>
    <col min="3" max="3" width="13" customWidth="1"/>
    <col min="4" max="4" width="10" customWidth="1"/>
    <col min="5" max="5" width="9" customWidth="1"/>
    <col min="6" max="29" width="8.42578125" customWidth="1"/>
  </cols>
  <sheetData>
    <row r="1" spans="1:29" ht="27.75" customHeight="1" x14ac:dyDescent="0.25">
      <c r="A1" s="7" t="s">
        <v>214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</row>
    <row r="2" spans="1:29" x14ac:dyDescent="0.25">
      <c r="A2" s="28" t="s">
        <v>215</v>
      </c>
    </row>
    <row r="3" spans="1:29" x14ac:dyDescent="0.25">
      <c r="A3" s="28" t="s">
        <v>216</v>
      </c>
    </row>
    <row r="6" spans="1:29" ht="21.75" customHeight="1" x14ac:dyDescent="0.25">
      <c r="A6" s="17" t="s">
        <v>142</v>
      </c>
      <c r="B6" s="17" t="s">
        <v>5</v>
      </c>
      <c r="C6" s="17" t="s">
        <v>146</v>
      </c>
      <c r="D6" s="17" t="s">
        <v>217</v>
      </c>
      <c r="E6" s="17" t="s">
        <v>149</v>
      </c>
      <c r="F6" s="82">
        <v>1</v>
      </c>
      <c r="G6" s="82">
        <v>2</v>
      </c>
      <c r="H6" s="82">
        <v>3</v>
      </c>
      <c r="I6" s="82">
        <v>4</v>
      </c>
      <c r="J6" s="82">
        <v>5</v>
      </c>
      <c r="K6" s="82">
        <v>6</v>
      </c>
      <c r="L6" s="82">
        <v>7</v>
      </c>
      <c r="M6" s="82">
        <v>8</v>
      </c>
      <c r="N6" s="82">
        <v>9</v>
      </c>
      <c r="O6" s="82">
        <v>10</v>
      </c>
      <c r="P6" s="82">
        <v>11</v>
      </c>
      <c r="Q6" s="82">
        <v>12</v>
      </c>
      <c r="R6" s="82">
        <v>13</v>
      </c>
      <c r="S6" s="82">
        <v>14</v>
      </c>
      <c r="T6" s="82">
        <v>15</v>
      </c>
      <c r="U6" s="82">
        <v>16</v>
      </c>
      <c r="V6" s="82">
        <v>17</v>
      </c>
      <c r="W6" s="82">
        <v>18</v>
      </c>
      <c r="X6" s="82">
        <v>19</v>
      </c>
      <c r="Y6" s="82">
        <v>20</v>
      </c>
      <c r="Z6" s="82">
        <v>21</v>
      </c>
      <c r="AA6" s="82">
        <v>22</v>
      </c>
      <c r="AB6" s="82">
        <v>23</v>
      </c>
      <c r="AC6" s="82">
        <v>24</v>
      </c>
    </row>
    <row r="7" spans="1:29" x14ac:dyDescent="0.25">
      <c r="A7" s="1" t="s">
        <v>218</v>
      </c>
      <c r="B7" s="1"/>
      <c r="C7" s="1"/>
      <c r="D7" s="1"/>
      <c r="E7" s="1"/>
      <c r="F7" s="83" t="str">
        <f>INDEX(Quincenas!$D$7:$D$30,F$6)</f>
        <v>Q1</v>
      </c>
      <c r="G7" s="83" t="str">
        <f>INDEX(Quincenas!$D$7:$D$30,G$6)</f>
        <v>Q2</v>
      </c>
      <c r="H7" s="83" t="str">
        <f>INDEX(Quincenas!$D$7:$D$30,H$6)</f>
        <v>Q1</v>
      </c>
      <c r="I7" s="83" t="str">
        <f>INDEX(Quincenas!$D$7:$D$30,I$6)</f>
        <v>Q2</v>
      </c>
      <c r="J7" s="83" t="str">
        <f>INDEX(Quincenas!$D$7:$D$30,J$6)</f>
        <v>Q1</v>
      </c>
      <c r="K7" s="83" t="str">
        <f>INDEX(Quincenas!$D$7:$D$30,K$6)</f>
        <v>Q2</v>
      </c>
      <c r="L7" s="83" t="str">
        <f>INDEX(Quincenas!$D$7:$D$30,L$6)</f>
        <v>Q1</v>
      </c>
      <c r="M7" s="83" t="str">
        <f>INDEX(Quincenas!$D$7:$D$30,M$6)</f>
        <v>Q2</v>
      </c>
      <c r="N7" s="83" t="str">
        <f>INDEX(Quincenas!$D$7:$D$30,N$6)</f>
        <v>Q1</v>
      </c>
      <c r="O7" s="83" t="str">
        <f>INDEX(Quincenas!$D$7:$D$30,O$6)</f>
        <v>Q2</v>
      </c>
      <c r="P7" s="83" t="str">
        <f>INDEX(Quincenas!$D$7:$D$30,P$6)</f>
        <v>Q1</v>
      </c>
      <c r="Q7" s="83" t="str">
        <f>INDEX(Quincenas!$D$7:$D$30,Q$6)</f>
        <v>Q2</v>
      </c>
      <c r="R7" s="83" t="str">
        <f>INDEX(Quincenas!$D$7:$D$30,R$6)</f>
        <v>Q1</v>
      </c>
      <c r="S7" s="83" t="str">
        <f>INDEX(Quincenas!$D$7:$D$30,S$6)</f>
        <v>Q2</v>
      </c>
      <c r="T7" s="83" t="str">
        <f>INDEX(Quincenas!$D$7:$D$30,T$6)</f>
        <v>Q1</v>
      </c>
      <c r="U7" s="83" t="str">
        <f>INDEX(Quincenas!$D$7:$D$30,U$6)</f>
        <v>Q2</v>
      </c>
      <c r="V7" s="83" t="str">
        <f>INDEX(Quincenas!$D$7:$D$30,V$6)</f>
        <v>Q1</v>
      </c>
      <c r="W7" s="83" t="str">
        <f>INDEX(Quincenas!$D$7:$D$30,W$6)</f>
        <v>Q2</v>
      </c>
      <c r="X7" s="83" t="str">
        <f>INDEX(Quincenas!$D$7:$D$30,X$6)</f>
        <v>Q1</v>
      </c>
      <c r="Y7" s="83" t="str">
        <f>INDEX(Quincenas!$D$7:$D$30,Y$6)</f>
        <v>Q2</v>
      </c>
      <c r="Z7" s="83" t="str">
        <f>INDEX(Quincenas!$D$7:$D$30,Z$6)</f>
        <v>Q1</v>
      </c>
      <c r="AA7" s="83" t="str">
        <f>INDEX(Quincenas!$D$7:$D$30,AA$6)</f>
        <v>Q2</v>
      </c>
      <c r="AB7" s="83" t="str">
        <f>INDEX(Quincenas!$D$7:$D$30,AB$6)</f>
        <v>Q1</v>
      </c>
      <c r="AC7" s="83" t="str">
        <f>INDEX(Quincenas!$D$7:$D$30,AC$6)</f>
        <v>Q2</v>
      </c>
    </row>
    <row r="8" spans="1:29" x14ac:dyDescent="0.25">
      <c r="A8" s="1" t="s">
        <v>219</v>
      </c>
      <c r="B8" s="1"/>
      <c r="C8" s="1"/>
      <c r="D8" s="1"/>
      <c r="E8" s="1"/>
      <c r="F8" s="84">
        <f>INDEX(Quincenas!$F$7:$F$30,F$6)</f>
        <v>46037</v>
      </c>
      <c r="G8" s="84">
        <f>INDEX(Quincenas!$F$7:$F$30,G$6)</f>
        <v>46053</v>
      </c>
      <c r="H8" s="84">
        <f>INDEX(Quincenas!$F$7:$F$30,H$6)</f>
        <v>46068</v>
      </c>
      <c r="I8" s="84">
        <f>INDEX(Quincenas!$F$7:$F$30,I$6)</f>
        <v>46081</v>
      </c>
      <c r="J8" s="84">
        <f>INDEX(Quincenas!$F$7:$F$30,J$6)</f>
        <v>46096</v>
      </c>
      <c r="K8" s="84">
        <f>INDEX(Quincenas!$F$7:$F$30,K$6)</f>
        <v>46112</v>
      </c>
      <c r="L8" s="84">
        <f>INDEX(Quincenas!$F$7:$F$30,L$6)</f>
        <v>46127</v>
      </c>
      <c r="M8" s="84">
        <f>INDEX(Quincenas!$F$7:$F$30,M$6)</f>
        <v>46142</v>
      </c>
      <c r="N8" s="84">
        <f>INDEX(Quincenas!$F$7:$F$30,N$6)</f>
        <v>46157</v>
      </c>
      <c r="O8" s="84">
        <f>INDEX(Quincenas!$F$7:$F$30,O$6)</f>
        <v>46173</v>
      </c>
      <c r="P8" s="84">
        <f>INDEX(Quincenas!$F$7:$F$30,P$6)</f>
        <v>46188</v>
      </c>
      <c r="Q8" s="84">
        <f>INDEX(Quincenas!$F$7:$F$30,Q$6)</f>
        <v>46203</v>
      </c>
      <c r="R8" s="84">
        <f>INDEX(Quincenas!$F$7:$F$30,R$6)</f>
        <v>46218</v>
      </c>
      <c r="S8" s="84">
        <f>INDEX(Quincenas!$F$7:$F$30,S$6)</f>
        <v>46234</v>
      </c>
      <c r="T8" s="84">
        <f>INDEX(Quincenas!$F$7:$F$30,T$6)</f>
        <v>46249</v>
      </c>
      <c r="U8" s="84">
        <f>INDEX(Quincenas!$F$7:$F$30,U$6)</f>
        <v>46265</v>
      </c>
      <c r="V8" s="84">
        <f>INDEX(Quincenas!$F$7:$F$30,V$6)</f>
        <v>46280</v>
      </c>
      <c r="W8" s="84">
        <f>INDEX(Quincenas!$F$7:$F$30,W$6)</f>
        <v>46295</v>
      </c>
      <c r="X8" s="84">
        <f>INDEX(Quincenas!$F$7:$F$30,X$6)</f>
        <v>46310</v>
      </c>
      <c r="Y8" s="84">
        <f>INDEX(Quincenas!$F$7:$F$30,Y$6)</f>
        <v>46326</v>
      </c>
      <c r="Z8" s="84">
        <f>INDEX(Quincenas!$F$7:$F$30,Z$6)</f>
        <v>46341</v>
      </c>
      <c r="AA8" s="84">
        <f>INDEX(Quincenas!$F$7:$F$30,AA$6)</f>
        <v>46356</v>
      </c>
      <c r="AB8" s="84">
        <f>INDEX(Quincenas!$F$7:$F$30,AB$6)</f>
        <v>46371</v>
      </c>
      <c r="AC8" s="84">
        <f>INDEX(Quincenas!$F$7:$F$30,AC$6)</f>
        <v>46387</v>
      </c>
    </row>
    <row r="9" spans="1:29" x14ac:dyDescent="0.25">
      <c r="A9" s="67" t="str">
        <f>IF(Fijos!$C7="","",Fijos!$A7)</f>
        <v>F01</v>
      </c>
      <c r="B9" s="75" t="str">
        <f>IF(Fijos!$C7="","",Fijos!$C7)</f>
        <v>Apoyo Casa</v>
      </c>
      <c r="C9" s="85" t="str">
        <f>IF(Fijos!$C7="","",Fijos!$F7)</f>
        <v>Quincenal</v>
      </c>
      <c r="D9" s="85" t="str">
        <f>IF(Fijos!$C7="","",Fijos!$G7)</f>
        <v>Ambas</v>
      </c>
      <c r="E9" s="85" t="str">
        <f>IF(Fijos!$C7="","",Fijos!$I7)</f>
        <v>Sí</v>
      </c>
      <c r="F9" s="86">
        <f t="shared" ref="F9:O12" si="0">IF($B9="","",SUMIFS(Reg_Monto,Reg_Concepto,$B9,Reg_Quincena,F$6,Reg_Tipo,"Fijo"))</f>
        <v>0</v>
      </c>
      <c r="G9" s="86">
        <f t="shared" si="0"/>
        <v>0</v>
      </c>
      <c r="H9" s="86">
        <f t="shared" si="0"/>
        <v>0</v>
      </c>
      <c r="I9" s="86">
        <f t="shared" si="0"/>
        <v>0</v>
      </c>
      <c r="J9" s="86">
        <f t="shared" si="0"/>
        <v>0</v>
      </c>
      <c r="K9" s="86">
        <f t="shared" si="0"/>
        <v>0</v>
      </c>
      <c r="L9" s="86">
        <f t="shared" si="0"/>
        <v>0</v>
      </c>
      <c r="M9" s="86">
        <f t="shared" si="0"/>
        <v>0</v>
      </c>
      <c r="N9" s="86">
        <f t="shared" si="0"/>
        <v>0</v>
      </c>
      <c r="O9" s="86">
        <f t="shared" si="0"/>
        <v>0</v>
      </c>
      <c r="P9" s="86">
        <f t="shared" ref="P9:AC12" si="1">IF($B9="","",SUMIFS(Reg_Monto,Reg_Concepto,$B9,Reg_Quincena,P$6,Reg_Tipo,"Fijo"))</f>
        <v>0</v>
      </c>
      <c r="Q9" s="86">
        <f t="shared" si="1"/>
        <v>0</v>
      </c>
      <c r="R9" s="86">
        <f t="shared" si="1"/>
        <v>0</v>
      </c>
      <c r="S9" s="86">
        <f t="shared" si="1"/>
        <v>0</v>
      </c>
      <c r="T9" s="86">
        <f t="shared" si="1"/>
        <v>0</v>
      </c>
      <c r="U9" s="86">
        <f t="shared" si="1"/>
        <v>0</v>
      </c>
      <c r="V9" s="86">
        <f t="shared" si="1"/>
        <v>0</v>
      </c>
      <c r="W9" s="86">
        <f t="shared" si="1"/>
        <v>0</v>
      </c>
      <c r="X9" s="86">
        <f t="shared" si="1"/>
        <v>0</v>
      </c>
      <c r="Y9" s="86">
        <f t="shared" si="1"/>
        <v>0</v>
      </c>
      <c r="Z9" s="86">
        <f t="shared" si="1"/>
        <v>0</v>
      </c>
      <c r="AA9" s="86">
        <f t="shared" si="1"/>
        <v>0</v>
      </c>
      <c r="AB9" s="86">
        <f t="shared" si="1"/>
        <v>0</v>
      </c>
      <c r="AC9" s="86">
        <f t="shared" si="1"/>
        <v>0</v>
      </c>
    </row>
    <row r="10" spans="1:29" x14ac:dyDescent="0.25">
      <c r="A10" s="72" t="str">
        <f>IF(Fijos!$C8="","",Fijos!$A8)</f>
        <v>F02</v>
      </c>
      <c r="B10" s="76" t="str">
        <f>IF(Fijos!$C8="","",Fijos!$C8)</f>
        <v>Pasajes y transporte</v>
      </c>
      <c r="C10" s="87" t="str">
        <f>IF(Fijos!$C8="","",Fijos!$F8)</f>
        <v>Quincenal</v>
      </c>
      <c r="D10" s="87" t="str">
        <f>IF(Fijos!$C8="","",Fijos!$G8)</f>
        <v>Ambas</v>
      </c>
      <c r="E10" s="87" t="str">
        <f>IF(Fijos!$C8="","",Fijos!$I8)</f>
        <v>Sí</v>
      </c>
      <c r="F10" s="86">
        <f t="shared" si="0"/>
        <v>0</v>
      </c>
      <c r="G10" s="86">
        <f t="shared" si="0"/>
        <v>0</v>
      </c>
      <c r="H10" s="86">
        <f t="shared" si="0"/>
        <v>0</v>
      </c>
      <c r="I10" s="86">
        <f t="shared" si="0"/>
        <v>0</v>
      </c>
      <c r="J10" s="86">
        <f t="shared" si="0"/>
        <v>0</v>
      </c>
      <c r="K10" s="86">
        <f t="shared" si="0"/>
        <v>0</v>
      </c>
      <c r="L10" s="86">
        <f t="shared" si="0"/>
        <v>0</v>
      </c>
      <c r="M10" s="86">
        <f t="shared" si="0"/>
        <v>0</v>
      </c>
      <c r="N10" s="86">
        <f t="shared" si="0"/>
        <v>0</v>
      </c>
      <c r="O10" s="86">
        <f t="shared" si="0"/>
        <v>0</v>
      </c>
      <c r="P10" s="86">
        <f t="shared" si="1"/>
        <v>0</v>
      </c>
      <c r="Q10" s="86">
        <f t="shared" si="1"/>
        <v>0</v>
      </c>
      <c r="R10" s="86">
        <f t="shared" si="1"/>
        <v>0</v>
      </c>
      <c r="S10" s="86">
        <f t="shared" si="1"/>
        <v>0</v>
      </c>
      <c r="T10" s="86">
        <f t="shared" si="1"/>
        <v>0</v>
      </c>
      <c r="U10" s="86">
        <f t="shared" si="1"/>
        <v>0</v>
      </c>
      <c r="V10" s="86">
        <f t="shared" si="1"/>
        <v>0</v>
      </c>
      <c r="W10" s="86">
        <f t="shared" si="1"/>
        <v>0</v>
      </c>
      <c r="X10" s="86">
        <f t="shared" si="1"/>
        <v>0</v>
      </c>
      <c r="Y10" s="86">
        <f t="shared" si="1"/>
        <v>0</v>
      </c>
      <c r="Z10" s="86">
        <f t="shared" si="1"/>
        <v>0</v>
      </c>
      <c r="AA10" s="86">
        <f t="shared" si="1"/>
        <v>0</v>
      </c>
      <c r="AB10" s="86">
        <f t="shared" si="1"/>
        <v>0</v>
      </c>
      <c r="AC10" s="86">
        <f t="shared" si="1"/>
        <v>0</v>
      </c>
    </row>
    <row r="11" spans="1:29" x14ac:dyDescent="0.25">
      <c r="A11" s="67" t="str">
        <f>IF(Fijos!$C9="","",Fijos!$A9)</f>
        <v>F03</v>
      </c>
      <c r="B11" s="75" t="str">
        <f>IF(Fijos!$C9="","",Fijos!$C9)</f>
        <v>Pago Perfume</v>
      </c>
      <c r="C11" s="85" t="str">
        <f>IF(Fijos!$C9="","",Fijos!$F9)</f>
        <v>Quincenal</v>
      </c>
      <c r="D11" s="85" t="str">
        <f>IF(Fijos!$C9="","",Fijos!$G9)</f>
        <v>Ambas</v>
      </c>
      <c r="E11" s="85" t="str">
        <f>IF(Fijos!$C9="","",Fijos!$I9)</f>
        <v>Sí</v>
      </c>
      <c r="F11" s="86">
        <f t="shared" si="0"/>
        <v>0</v>
      </c>
      <c r="G11" s="86">
        <f t="shared" si="0"/>
        <v>0</v>
      </c>
      <c r="H11" s="86">
        <f t="shared" si="0"/>
        <v>0</v>
      </c>
      <c r="I11" s="86">
        <f t="shared" si="0"/>
        <v>0</v>
      </c>
      <c r="J11" s="86">
        <f t="shared" si="0"/>
        <v>0</v>
      </c>
      <c r="K11" s="86">
        <f t="shared" si="0"/>
        <v>0</v>
      </c>
      <c r="L11" s="86">
        <f t="shared" si="0"/>
        <v>0</v>
      </c>
      <c r="M11" s="86">
        <f t="shared" si="0"/>
        <v>0</v>
      </c>
      <c r="N11" s="86">
        <f t="shared" si="0"/>
        <v>0</v>
      </c>
      <c r="O11" s="86">
        <f t="shared" si="0"/>
        <v>0</v>
      </c>
      <c r="P11" s="86">
        <f t="shared" si="1"/>
        <v>0</v>
      </c>
      <c r="Q11" s="86">
        <f t="shared" si="1"/>
        <v>0</v>
      </c>
      <c r="R11" s="86">
        <f t="shared" si="1"/>
        <v>0</v>
      </c>
      <c r="S11" s="86">
        <f t="shared" si="1"/>
        <v>0</v>
      </c>
      <c r="T11" s="86">
        <f t="shared" si="1"/>
        <v>0</v>
      </c>
      <c r="U11" s="86">
        <f t="shared" si="1"/>
        <v>0</v>
      </c>
      <c r="V11" s="86">
        <f t="shared" si="1"/>
        <v>0</v>
      </c>
      <c r="W11" s="86">
        <f t="shared" si="1"/>
        <v>0</v>
      </c>
      <c r="X11" s="86">
        <f t="shared" si="1"/>
        <v>0</v>
      </c>
      <c r="Y11" s="86">
        <f t="shared" si="1"/>
        <v>0</v>
      </c>
      <c r="Z11" s="86">
        <f t="shared" si="1"/>
        <v>0</v>
      </c>
      <c r="AA11" s="86">
        <f t="shared" si="1"/>
        <v>0</v>
      </c>
      <c r="AB11" s="86">
        <f t="shared" si="1"/>
        <v>0</v>
      </c>
      <c r="AC11" s="86">
        <f t="shared" si="1"/>
        <v>0</v>
      </c>
    </row>
    <row r="12" spans="1:29" x14ac:dyDescent="0.25">
      <c r="A12" s="72" t="str">
        <f>IF(Fijos!$C10="","",Fijos!$A10)</f>
        <v>F04</v>
      </c>
      <c r="B12" s="76" t="str">
        <f>IF(Fijos!$C10="","",Fijos!$C10)</f>
        <v>Streaming</v>
      </c>
      <c r="C12" s="87" t="str">
        <f>IF(Fijos!$C10="","",Fijos!$F10)</f>
        <v>Quincenal</v>
      </c>
      <c r="D12" s="87" t="str">
        <f>IF(Fijos!$C10="","",Fijos!$G10)</f>
        <v>Ambas</v>
      </c>
      <c r="E12" s="87" t="str">
        <f>IF(Fijos!$C10="","",Fijos!$I10)</f>
        <v>Sí</v>
      </c>
      <c r="F12" s="86">
        <f t="shared" si="0"/>
        <v>0</v>
      </c>
      <c r="G12" s="86">
        <f t="shared" si="0"/>
        <v>0</v>
      </c>
      <c r="H12" s="86">
        <f t="shared" si="0"/>
        <v>0</v>
      </c>
      <c r="I12" s="86">
        <f t="shared" si="0"/>
        <v>0</v>
      </c>
      <c r="J12" s="86">
        <f t="shared" si="0"/>
        <v>0</v>
      </c>
      <c r="K12" s="86">
        <f t="shared" si="0"/>
        <v>0</v>
      </c>
      <c r="L12" s="86">
        <f t="shared" si="0"/>
        <v>0</v>
      </c>
      <c r="M12" s="86">
        <f t="shared" si="0"/>
        <v>0</v>
      </c>
      <c r="N12" s="86">
        <f t="shared" si="0"/>
        <v>0</v>
      </c>
      <c r="O12" s="86">
        <f t="shared" si="0"/>
        <v>0</v>
      </c>
      <c r="P12" s="86">
        <f t="shared" si="1"/>
        <v>0</v>
      </c>
      <c r="Q12" s="86">
        <f t="shared" si="1"/>
        <v>0</v>
      </c>
      <c r="R12" s="86">
        <f t="shared" si="1"/>
        <v>0</v>
      </c>
      <c r="S12" s="86">
        <f t="shared" si="1"/>
        <v>0</v>
      </c>
      <c r="T12" s="86">
        <f t="shared" si="1"/>
        <v>0</v>
      </c>
      <c r="U12" s="86">
        <f t="shared" si="1"/>
        <v>0</v>
      </c>
      <c r="V12" s="86">
        <f t="shared" si="1"/>
        <v>0</v>
      </c>
      <c r="W12" s="86">
        <f t="shared" si="1"/>
        <v>0</v>
      </c>
      <c r="X12" s="86">
        <f t="shared" si="1"/>
        <v>0</v>
      </c>
      <c r="Y12" s="86">
        <f t="shared" si="1"/>
        <v>0</v>
      </c>
      <c r="Z12" s="86">
        <f t="shared" si="1"/>
        <v>0</v>
      </c>
      <c r="AA12" s="86">
        <f t="shared" si="1"/>
        <v>0</v>
      </c>
      <c r="AB12" s="86">
        <f t="shared" si="1"/>
        <v>0</v>
      </c>
      <c r="AC12" s="86">
        <f t="shared" si="1"/>
        <v>0</v>
      </c>
    </row>
    <row r="13" spans="1:29" x14ac:dyDescent="0.25">
      <c r="A13" s="67" t="str">
        <f>IF(Fijos!$C11="","",Fijos!$A11)</f>
        <v>F05</v>
      </c>
      <c r="B13" s="75" t="str">
        <f>IF(Fijos!$C11="","",Fijos!$C11)</f>
        <v>Telefono</v>
      </c>
      <c r="C13" s="85" t="str">
        <f>IF(Fijos!$C11="","",Fijos!$F11)</f>
        <v>Mensual</v>
      </c>
      <c r="D13" s="85" t="str">
        <f>IF(Fijos!$C11="","",Fijos!$G11)</f>
        <v>Q2</v>
      </c>
      <c r="E13" s="85" t="str">
        <f>IF(Fijos!$C11="","",Fijos!$I11)</f>
        <v>Sí</v>
      </c>
      <c r="F13" s="86">
        <f t="shared" ref="F13:O20" si="2">IF($B13="","",SUMIFS(Reg_Monto,Reg_Concepto,$B13,Reg_Quincena,F$6,Reg_Tipo,"Fijo"))</f>
        <v>0</v>
      </c>
      <c r="G13" s="86">
        <f t="shared" si="2"/>
        <v>0</v>
      </c>
      <c r="H13" s="86">
        <f t="shared" si="2"/>
        <v>0</v>
      </c>
      <c r="I13" s="86">
        <f t="shared" si="2"/>
        <v>0</v>
      </c>
      <c r="J13" s="86">
        <f t="shared" si="2"/>
        <v>0</v>
      </c>
      <c r="K13" s="86">
        <f t="shared" si="2"/>
        <v>0</v>
      </c>
      <c r="L13" s="86">
        <f t="shared" si="2"/>
        <v>0</v>
      </c>
      <c r="M13" s="86">
        <f t="shared" si="2"/>
        <v>0</v>
      </c>
      <c r="N13" s="86">
        <f t="shared" si="2"/>
        <v>0</v>
      </c>
      <c r="O13" s="86">
        <f t="shared" si="2"/>
        <v>0</v>
      </c>
      <c r="P13" s="86">
        <f t="shared" ref="P13:AC20" si="3">IF($B13="","",SUMIFS(Reg_Monto,Reg_Concepto,$B13,Reg_Quincena,P$6,Reg_Tipo,"Fijo"))</f>
        <v>0</v>
      </c>
      <c r="Q13" s="86">
        <f t="shared" si="3"/>
        <v>0</v>
      </c>
      <c r="R13" s="86">
        <f t="shared" si="3"/>
        <v>0</v>
      </c>
      <c r="S13" s="86">
        <f t="shared" si="3"/>
        <v>0</v>
      </c>
      <c r="T13" s="86">
        <f t="shared" si="3"/>
        <v>0</v>
      </c>
      <c r="U13" s="86">
        <f t="shared" si="3"/>
        <v>0</v>
      </c>
      <c r="V13" s="86">
        <f t="shared" si="3"/>
        <v>0</v>
      </c>
      <c r="W13" s="86">
        <f t="shared" si="3"/>
        <v>0</v>
      </c>
      <c r="X13" s="86">
        <f t="shared" si="3"/>
        <v>0</v>
      </c>
      <c r="Y13" s="86">
        <f t="shared" si="3"/>
        <v>0</v>
      </c>
      <c r="Z13" s="86">
        <f t="shared" si="3"/>
        <v>0</v>
      </c>
      <c r="AA13" s="86">
        <f t="shared" si="3"/>
        <v>0</v>
      </c>
      <c r="AB13" s="86">
        <f t="shared" si="3"/>
        <v>0</v>
      </c>
      <c r="AC13" s="86">
        <f t="shared" si="3"/>
        <v>0</v>
      </c>
    </row>
    <row r="14" spans="1:29" x14ac:dyDescent="0.25">
      <c r="A14" s="72" t="str">
        <f>IF(Fijos!$C12="","",Fijos!$A12)</f>
        <v/>
      </c>
      <c r="B14" s="76" t="str">
        <f>IF(Fijos!$C12="","",Fijos!$C12)</f>
        <v/>
      </c>
      <c r="C14" s="87" t="str">
        <f>IF(Fijos!$C12="","",Fijos!$F12)</f>
        <v/>
      </c>
      <c r="D14" s="87" t="str">
        <f>IF(Fijos!$C12="","",Fijos!$G12)</f>
        <v/>
      </c>
      <c r="E14" s="87" t="str">
        <f>IF(Fijos!$C12="","",Fijos!$I12)</f>
        <v/>
      </c>
      <c r="F14" s="86" t="str">
        <f t="shared" si="2"/>
        <v/>
      </c>
      <c r="G14" s="86" t="str">
        <f t="shared" si="2"/>
        <v/>
      </c>
      <c r="H14" s="86" t="str">
        <f t="shared" si="2"/>
        <v/>
      </c>
      <c r="I14" s="86" t="str">
        <f t="shared" si="2"/>
        <v/>
      </c>
      <c r="J14" s="86" t="str">
        <f t="shared" si="2"/>
        <v/>
      </c>
      <c r="K14" s="86" t="str">
        <f t="shared" si="2"/>
        <v/>
      </c>
      <c r="L14" s="86" t="str">
        <f t="shared" si="2"/>
        <v/>
      </c>
      <c r="M14" s="86" t="str">
        <f t="shared" si="2"/>
        <v/>
      </c>
      <c r="N14" s="86" t="str">
        <f t="shared" si="2"/>
        <v/>
      </c>
      <c r="O14" s="86" t="str">
        <f t="shared" si="2"/>
        <v/>
      </c>
      <c r="P14" s="86" t="str">
        <f t="shared" si="3"/>
        <v/>
      </c>
      <c r="Q14" s="86" t="str">
        <f t="shared" si="3"/>
        <v/>
      </c>
      <c r="R14" s="86" t="str">
        <f t="shared" si="3"/>
        <v/>
      </c>
      <c r="S14" s="86" t="str">
        <f t="shared" si="3"/>
        <v/>
      </c>
      <c r="T14" s="86" t="str">
        <f t="shared" si="3"/>
        <v/>
      </c>
      <c r="U14" s="86" t="str">
        <f t="shared" si="3"/>
        <v/>
      </c>
      <c r="V14" s="86" t="str">
        <f t="shared" si="3"/>
        <v/>
      </c>
      <c r="W14" s="86" t="str">
        <f t="shared" si="3"/>
        <v/>
      </c>
      <c r="X14" s="86" t="str">
        <f t="shared" si="3"/>
        <v/>
      </c>
      <c r="Y14" s="86" t="str">
        <f t="shared" si="3"/>
        <v/>
      </c>
      <c r="Z14" s="86" t="str">
        <f t="shared" si="3"/>
        <v/>
      </c>
      <c r="AA14" s="86" t="str">
        <f t="shared" si="3"/>
        <v/>
      </c>
      <c r="AB14" s="86" t="str">
        <f t="shared" si="3"/>
        <v/>
      </c>
      <c r="AC14" s="86" t="str">
        <f t="shared" si="3"/>
        <v/>
      </c>
    </row>
    <row r="15" spans="1:29" x14ac:dyDescent="0.25">
      <c r="A15" s="67" t="str">
        <f>IF(Fijos!$C13="","",Fijos!$A13)</f>
        <v/>
      </c>
      <c r="B15" s="75" t="str">
        <f>IF(Fijos!$C13="","",Fijos!$C13)</f>
        <v/>
      </c>
      <c r="C15" s="85" t="str">
        <f>IF(Fijos!$C13="","",Fijos!$F13)</f>
        <v/>
      </c>
      <c r="D15" s="85" t="str">
        <f>IF(Fijos!$C13="","",Fijos!$G13)</f>
        <v/>
      </c>
      <c r="E15" s="85" t="str">
        <f>IF(Fijos!$C13="","",Fijos!$I13)</f>
        <v/>
      </c>
      <c r="F15" s="86" t="str">
        <f t="shared" si="2"/>
        <v/>
      </c>
      <c r="G15" s="86" t="str">
        <f t="shared" si="2"/>
        <v/>
      </c>
      <c r="H15" s="86" t="str">
        <f t="shared" si="2"/>
        <v/>
      </c>
      <c r="I15" s="86" t="str">
        <f t="shared" si="2"/>
        <v/>
      </c>
      <c r="J15" s="86" t="str">
        <f t="shared" si="2"/>
        <v/>
      </c>
      <c r="K15" s="86" t="str">
        <f t="shared" si="2"/>
        <v/>
      </c>
      <c r="L15" s="86" t="str">
        <f t="shared" si="2"/>
        <v/>
      </c>
      <c r="M15" s="86" t="str">
        <f t="shared" si="2"/>
        <v/>
      </c>
      <c r="N15" s="86" t="str">
        <f t="shared" si="2"/>
        <v/>
      </c>
      <c r="O15" s="86" t="str">
        <f t="shared" si="2"/>
        <v/>
      </c>
      <c r="P15" s="86" t="str">
        <f t="shared" si="3"/>
        <v/>
      </c>
      <c r="Q15" s="86" t="str">
        <f t="shared" si="3"/>
        <v/>
      </c>
      <c r="R15" s="86" t="str">
        <f t="shared" si="3"/>
        <v/>
      </c>
      <c r="S15" s="86" t="str">
        <f t="shared" si="3"/>
        <v/>
      </c>
      <c r="T15" s="86" t="str">
        <f t="shared" si="3"/>
        <v/>
      </c>
      <c r="U15" s="86" t="str">
        <f t="shared" si="3"/>
        <v/>
      </c>
      <c r="V15" s="86" t="str">
        <f t="shared" si="3"/>
        <v/>
      </c>
      <c r="W15" s="86" t="str">
        <f t="shared" si="3"/>
        <v/>
      </c>
      <c r="X15" s="86" t="str">
        <f t="shared" si="3"/>
        <v/>
      </c>
      <c r="Y15" s="86" t="str">
        <f t="shared" si="3"/>
        <v/>
      </c>
      <c r="Z15" s="86" t="str">
        <f t="shared" si="3"/>
        <v/>
      </c>
      <c r="AA15" s="86" t="str">
        <f t="shared" si="3"/>
        <v/>
      </c>
      <c r="AB15" s="86" t="str">
        <f t="shared" si="3"/>
        <v/>
      </c>
      <c r="AC15" s="86" t="str">
        <f t="shared" si="3"/>
        <v/>
      </c>
    </row>
    <row r="16" spans="1:29" x14ac:dyDescent="0.25">
      <c r="A16" s="72" t="str">
        <f>IF(Fijos!$C14="","",Fijos!$A14)</f>
        <v/>
      </c>
      <c r="B16" s="76" t="str">
        <f>IF(Fijos!$C14="","",Fijos!$C14)</f>
        <v/>
      </c>
      <c r="C16" s="87" t="str">
        <f>IF(Fijos!$C14="","",Fijos!$F14)</f>
        <v/>
      </c>
      <c r="D16" s="87" t="str">
        <f>IF(Fijos!$C14="","",Fijos!$G14)</f>
        <v/>
      </c>
      <c r="E16" s="87" t="str">
        <f>IF(Fijos!$C14="","",Fijos!$I14)</f>
        <v/>
      </c>
      <c r="F16" s="86" t="str">
        <f t="shared" si="2"/>
        <v/>
      </c>
      <c r="G16" s="86" t="str">
        <f t="shared" si="2"/>
        <v/>
      </c>
      <c r="H16" s="86" t="str">
        <f t="shared" si="2"/>
        <v/>
      </c>
      <c r="I16" s="86" t="str">
        <f t="shared" si="2"/>
        <v/>
      </c>
      <c r="J16" s="86" t="str">
        <f t="shared" si="2"/>
        <v/>
      </c>
      <c r="K16" s="86" t="str">
        <f t="shared" si="2"/>
        <v/>
      </c>
      <c r="L16" s="86" t="str">
        <f t="shared" si="2"/>
        <v/>
      </c>
      <c r="M16" s="86" t="str">
        <f t="shared" si="2"/>
        <v/>
      </c>
      <c r="N16" s="86" t="str">
        <f t="shared" si="2"/>
        <v/>
      </c>
      <c r="O16" s="86" t="str">
        <f t="shared" si="2"/>
        <v/>
      </c>
      <c r="P16" s="86" t="str">
        <f t="shared" si="3"/>
        <v/>
      </c>
      <c r="Q16" s="86" t="str">
        <f t="shared" si="3"/>
        <v/>
      </c>
      <c r="R16" s="86" t="str">
        <f t="shared" si="3"/>
        <v/>
      </c>
      <c r="S16" s="86" t="str">
        <f t="shared" si="3"/>
        <v/>
      </c>
      <c r="T16" s="86" t="str">
        <f t="shared" si="3"/>
        <v/>
      </c>
      <c r="U16" s="86" t="str">
        <f t="shared" si="3"/>
        <v/>
      </c>
      <c r="V16" s="86" t="str">
        <f t="shared" si="3"/>
        <v/>
      </c>
      <c r="W16" s="86" t="str">
        <f t="shared" si="3"/>
        <v/>
      </c>
      <c r="X16" s="86" t="str">
        <f t="shared" si="3"/>
        <v/>
      </c>
      <c r="Y16" s="86" t="str">
        <f t="shared" si="3"/>
        <v/>
      </c>
      <c r="Z16" s="86" t="str">
        <f t="shared" si="3"/>
        <v/>
      </c>
      <c r="AA16" s="86" t="str">
        <f t="shared" si="3"/>
        <v/>
      </c>
      <c r="AB16" s="86" t="str">
        <f t="shared" si="3"/>
        <v/>
      </c>
      <c r="AC16" s="86" t="str">
        <f t="shared" si="3"/>
        <v/>
      </c>
    </row>
    <row r="17" spans="1:29" x14ac:dyDescent="0.25">
      <c r="A17" s="67" t="str">
        <f>IF(Fijos!$C15="","",Fijos!$A15)</f>
        <v/>
      </c>
      <c r="B17" s="75" t="str">
        <f>IF(Fijos!$C15="","",Fijos!$C15)</f>
        <v/>
      </c>
      <c r="C17" s="85" t="str">
        <f>IF(Fijos!$C15="","",Fijos!$F15)</f>
        <v/>
      </c>
      <c r="D17" s="85" t="str">
        <f>IF(Fijos!$C15="","",Fijos!$G15)</f>
        <v/>
      </c>
      <c r="E17" s="85" t="str">
        <f>IF(Fijos!$C15="","",Fijos!$I15)</f>
        <v/>
      </c>
      <c r="F17" s="86" t="str">
        <f t="shared" si="2"/>
        <v/>
      </c>
      <c r="G17" s="86" t="str">
        <f t="shared" si="2"/>
        <v/>
      </c>
      <c r="H17" s="86" t="str">
        <f t="shared" si="2"/>
        <v/>
      </c>
      <c r="I17" s="86" t="str">
        <f t="shared" si="2"/>
        <v/>
      </c>
      <c r="J17" s="86" t="str">
        <f t="shared" si="2"/>
        <v/>
      </c>
      <c r="K17" s="86" t="str">
        <f t="shared" si="2"/>
        <v/>
      </c>
      <c r="L17" s="86" t="str">
        <f t="shared" si="2"/>
        <v/>
      </c>
      <c r="M17" s="86" t="str">
        <f t="shared" si="2"/>
        <v/>
      </c>
      <c r="N17" s="86" t="str">
        <f t="shared" si="2"/>
        <v/>
      </c>
      <c r="O17" s="86" t="str">
        <f t="shared" si="2"/>
        <v/>
      </c>
      <c r="P17" s="86" t="str">
        <f t="shared" si="3"/>
        <v/>
      </c>
      <c r="Q17" s="86" t="str">
        <f t="shared" si="3"/>
        <v/>
      </c>
      <c r="R17" s="86" t="str">
        <f t="shared" si="3"/>
        <v/>
      </c>
      <c r="S17" s="86" t="str">
        <f t="shared" si="3"/>
        <v/>
      </c>
      <c r="T17" s="86" t="str">
        <f t="shared" si="3"/>
        <v/>
      </c>
      <c r="U17" s="86" t="str">
        <f t="shared" si="3"/>
        <v/>
      </c>
      <c r="V17" s="86" t="str">
        <f t="shared" si="3"/>
        <v/>
      </c>
      <c r="W17" s="86" t="str">
        <f t="shared" si="3"/>
        <v/>
      </c>
      <c r="X17" s="86" t="str">
        <f t="shared" si="3"/>
        <v/>
      </c>
      <c r="Y17" s="86" t="str">
        <f t="shared" si="3"/>
        <v/>
      </c>
      <c r="Z17" s="86" t="str">
        <f t="shared" si="3"/>
        <v/>
      </c>
      <c r="AA17" s="86" t="str">
        <f t="shared" si="3"/>
        <v/>
      </c>
      <c r="AB17" s="86" t="str">
        <f t="shared" si="3"/>
        <v/>
      </c>
      <c r="AC17" s="86" t="str">
        <f t="shared" si="3"/>
        <v/>
      </c>
    </row>
    <row r="18" spans="1:29" x14ac:dyDescent="0.25">
      <c r="A18" s="72" t="str">
        <f>IF(Fijos!$C16="","",Fijos!$A16)</f>
        <v/>
      </c>
      <c r="B18" s="76" t="str">
        <f>IF(Fijos!$C16="","",Fijos!$C16)</f>
        <v/>
      </c>
      <c r="C18" s="87" t="str">
        <f>IF(Fijos!$C16="","",Fijos!$F16)</f>
        <v/>
      </c>
      <c r="D18" s="87" t="str">
        <f>IF(Fijos!$C16="","",Fijos!$G16)</f>
        <v/>
      </c>
      <c r="E18" s="87" t="str">
        <f>IF(Fijos!$C16="","",Fijos!$I16)</f>
        <v/>
      </c>
      <c r="F18" s="86" t="str">
        <f t="shared" si="2"/>
        <v/>
      </c>
      <c r="G18" s="86" t="str">
        <f t="shared" si="2"/>
        <v/>
      </c>
      <c r="H18" s="86" t="str">
        <f t="shared" si="2"/>
        <v/>
      </c>
      <c r="I18" s="86" t="str">
        <f t="shared" si="2"/>
        <v/>
      </c>
      <c r="J18" s="86" t="str">
        <f t="shared" si="2"/>
        <v/>
      </c>
      <c r="K18" s="86" t="str">
        <f t="shared" si="2"/>
        <v/>
      </c>
      <c r="L18" s="86" t="str">
        <f t="shared" si="2"/>
        <v/>
      </c>
      <c r="M18" s="86" t="str">
        <f t="shared" si="2"/>
        <v/>
      </c>
      <c r="N18" s="86" t="str">
        <f t="shared" si="2"/>
        <v/>
      </c>
      <c r="O18" s="86" t="str">
        <f t="shared" si="2"/>
        <v/>
      </c>
      <c r="P18" s="86" t="str">
        <f t="shared" si="3"/>
        <v/>
      </c>
      <c r="Q18" s="86" t="str">
        <f t="shared" si="3"/>
        <v/>
      </c>
      <c r="R18" s="86" t="str">
        <f t="shared" si="3"/>
        <v/>
      </c>
      <c r="S18" s="86" t="str">
        <f t="shared" si="3"/>
        <v/>
      </c>
      <c r="T18" s="86" t="str">
        <f t="shared" si="3"/>
        <v/>
      </c>
      <c r="U18" s="86" t="str">
        <f t="shared" si="3"/>
        <v/>
      </c>
      <c r="V18" s="86" t="str">
        <f t="shared" si="3"/>
        <v/>
      </c>
      <c r="W18" s="86" t="str">
        <f t="shared" si="3"/>
        <v/>
      </c>
      <c r="X18" s="86" t="str">
        <f t="shared" si="3"/>
        <v/>
      </c>
      <c r="Y18" s="86" t="str">
        <f t="shared" si="3"/>
        <v/>
      </c>
      <c r="Z18" s="86" t="str">
        <f t="shared" si="3"/>
        <v/>
      </c>
      <c r="AA18" s="86" t="str">
        <f t="shared" si="3"/>
        <v/>
      </c>
      <c r="AB18" s="86" t="str">
        <f t="shared" si="3"/>
        <v/>
      </c>
      <c r="AC18" s="86" t="str">
        <f t="shared" si="3"/>
        <v/>
      </c>
    </row>
    <row r="19" spans="1:29" x14ac:dyDescent="0.25">
      <c r="A19" s="67" t="str">
        <f>IF(Fijos!$C17="","",Fijos!$A17)</f>
        <v/>
      </c>
      <c r="B19" s="75" t="str">
        <f>IF(Fijos!$C17="","",Fijos!$C17)</f>
        <v/>
      </c>
      <c r="C19" s="85" t="str">
        <f>IF(Fijos!$C17="","",Fijos!$F17)</f>
        <v/>
      </c>
      <c r="D19" s="85" t="str">
        <f>IF(Fijos!$C17="","",Fijos!$G17)</f>
        <v/>
      </c>
      <c r="E19" s="85" t="str">
        <f>IF(Fijos!$C17="","",Fijos!$I17)</f>
        <v/>
      </c>
      <c r="F19" s="86" t="str">
        <f t="shared" si="2"/>
        <v/>
      </c>
      <c r="G19" s="86" t="str">
        <f t="shared" si="2"/>
        <v/>
      </c>
      <c r="H19" s="86" t="str">
        <f t="shared" si="2"/>
        <v/>
      </c>
      <c r="I19" s="86" t="str">
        <f t="shared" si="2"/>
        <v/>
      </c>
      <c r="J19" s="86" t="str">
        <f t="shared" si="2"/>
        <v/>
      </c>
      <c r="K19" s="86" t="str">
        <f t="shared" si="2"/>
        <v/>
      </c>
      <c r="L19" s="86" t="str">
        <f t="shared" si="2"/>
        <v/>
      </c>
      <c r="M19" s="86" t="str">
        <f t="shared" si="2"/>
        <v/>
      </c>
      <c r="N19" s="86" t="str">
        <f t="shared" si="2"/>
        <v/>
      </c>
      <c r="O19" s="86" t="str">
        <f t="shared" si="2"/>
        <v/>
      </c>
      <c r="P19" s="86" t="str">
        <f t="shared" si="3"/>
        <v/>
      </c>
      <c r="Q19" s="86" t="str">
        <f t="shared" si="3"/>
        <v/>
      </c>
      <c r="R19" s="86" t="str">
        <f t="shared" si="3"/>
        <v/>
      </c>
      <c r="S19" s="86" t="str">
        <f t="shared" si="3"/>
        <v/>
      </c>
      <c r="T19" s="86" t="str">
        <f t="shared" si="3"/>
        <v/>
      </c>
      <c r="U19" s="86" t="str">
        <f t="shared" si="3"/>
        <v/>
      </c>
      <c r="V19" s="86" t="str">
        <f t="shared" si="3"/>
        <v/>
      </c>
      <c r="W19" s="86" t="str">
        <f t="shared" si="3"/>
        <v/>
      </c>
      <c r="X19" s="86" t="str">
        <f t="shared" si="3"/>
        <v/>
      </c>
      <c r="Y19" s="86" t="str">
        <f t="shared" si="3"/>
        <v/>
      </c>
      <c r="Z19" s="86" t="str">
        <f t="shared" si="3"/>
        <v/>
      </c>
      <c r="AA19" s="86" t="str">
        <f t="shared" si="3"/>
        <v/>
      </c>
      <c r="AB19" s="86" t="str">
        <f t="shared" si="3"/>
        <v/>
      </c>
      <c r="AC19" s="86" t="str">
        <f t="shared" si="3"/>
        <v/>
      </c>
    </row>
    <row r="20" spans="1:29" x14ac:dyDescent="0.25">
      <c r="A20" s="72" t="str">
        <f>IF(Fijos!$C18="","",Fijos!$A18)</f>
        <v/>
      </c>
      <c r="B20" s="76" t="str">
        <f>IF(Fijos!$C18="","",Fijos!$C18)</f>
        <v/>
      </c>
      <c r="C20" s="87" t="str">
        <f>IF(Fijos!$C18="","",Fijos!$F18)</f>
        <v/>
      </c>
      <c r="D20" s="87" t="str">
        <f>IF(Fijos!$C18="","",Fijos!$G18)</f>
        <v/>
      </c>
      <c r="E20" s="87" t="str">
        <f>IF(Fijos!$C18="","",Fijos!$I18)</f>
        <v/>
      </c>
      <c r="F20" s="86" t="str">
        <f t="shared" si="2"/>
        <v/>
      </c>
      <c r="G20" s="86" t="str">
        <f t="shared" si="2"/>
        <v/>
      </c>
      <c r="H20" s="86" t="str">
        <f t="shared" si="2"/>
        <v/>
      </c>
      <c r="I20" s="86" t="str">
        <f t="shared" si="2"/>
        <v/>
      </c>
      <c r="J20" s="86" t="str">
        <f t="shared" si="2"/>
        <v/>
      </c>
      <c r="K20" s="86" t="str">
        <f t="shared" si="2"/>
        <v/>
      </c>
      <c r="L20" s="86" t="str">
        <f t="shared" si="2"/>
        <v/>
      </c>
      <c r="M20" s="86" t="str">
        <f t="shared" si="2"/>
        <v/>
      </c>
      <c r="N20" s="86" t="str">
        <f t="shared" si="2"/>
        <v/>
      </c>
      <c r="O20" s="86" t="str">
        <f t="shared" si="2"/>
        <v/>
      </c>
      <c r="P20" s="86" t="str">
        <f t="shared" si="3"/>
        <v/>
      </c>
      <c r="Q20" s="86" t="str">
        <f t="shared" si="3"/>
        <v/>
      </c>
      <c r="R20" s="86" t="str">
        <f t="shared" si="3"/>
        <v/>
      </c>
      <c r="S20" s="86" t="str">
        <f t="shared" si="3"/>
        <v/>
      </c>
      <c r="T20" s="86" t="str">
        <f t="shared" si="3"/>
        <v/>
      </c>
      <c r="U20" s="86" t="str">
        <f t="shared" si="3"/>
        <v/>
      </c>
      <c r="V20" s="86" t="str">
        <f t="shared" si="3"/>
        <v/>
      </c>
      <c r="W20" s="86" t="str">
        <f t="shared" si="3"/>
        <v/>
      </c>
      <c r="X20" s="86" t="str">
        <f t="shared" si="3"/>
        <v/>
      </c>
      <c r="Y20" s="86" t="str">
        <f t="shared" si="3"/>
        <v/>
      </c>
      <c r="Z20" s="86" t="str">
        <f t="shared" si="3"/>
        <v/>
      </c>
      <c r="AA20" s="86" t="str">
        <f t="shared" si="3"/>
        <v/>
      </c>
      <c r="AB20" s="86" t="str">
        <f t="shared" si="3"/>
        <v/>
      </c>
      <c r="AC20" s="86" t="str">
        <f t="shared" si="3"/>
        <v/>
      </c>
    </row>
    <row r="21" spans="1:29" x14ac:dyDescent="0.25">
      <c r="A21" s="67" t="str">
        <f>IF(Fijos!$C19="","",Fijos!$A19)</f>
        <v/>
      </c>
      <c r="B21" s="75" t="str">
        <f>IF(Fijos!$C19="","",Fijos!$C19)</f>
        <v/>
      </c>
      <c r="C21" s="85" t="str">
        <f>IF(Fijos!$C19="","",Fijos!$F19)</f>
        <v/>
      </c>
      <c r="D21" s="85" t="str">
        <f>IF(Fijos!$C19="","",Fijos!$G19)</f>
        <v/>
      </c>
      <c r="E21" s="85" t="str">
        <f>IF(Fijos!$C19="","",Fijos!$I19)</f>
        <v/>
      </c>
      <c r="F21" s="86" t="str">
        <f t="shared" ref="F21:O30" si="4">IF($B21="","",SUMIFS(Reg_Monto,Reg_Concepto,$B21,Reg_Quincena,F$6,Reg_Tipo,"Fijo"))</f>
        <v/>
      </c>
      <c r="G21" s="86" t="str">
        <f t="shared" si="4"/>
        <v/>
      </c>
      <c r="H21" s="86" t="str">
        <f t="shared" si="4"/>
        <v/>
      </c>
      <c r="I21" s="86" t="str">
        <f t="shared" si="4"/>
        <v/>
      </c>
      <c r="J21" s="86" t="str">
        <f t="shared" si="4"/>
        <v/>
      </c>
      <c r="K21" s="86" t="str">
        <f t="shared" si="4"/>
        <v/>
      </c>
      <c r="L21" s="86" t="str">
        <f t="shared" si="4"/>
        <v/>
      </c>
      <c r="M21" s="86" t="str">
        <f t="shared" si="4"/>
        <v/>
      </c>
      <c r="N21" s="86" t="str">
        <f t="shared" si="4"/>
        <v/>
      </c>
      <c r="O21" s="86" t="str">
        <f t="shared" si="4"/>
        <v/>
      </c>
      <c r="P21" s="86" t="str">
        <f t="shared" ref="P21:AC30" si="5">IF($B21="","",SUMIFS(Reg_Monto,Reg_Concepto,$B21,Reg_Quincena,P$6,Reg_Tipo,"Fijo"))</f>
        <v/>
      </c>
      <c r="Q21" s="86" t="str">
        <f t="shared" si="5"/>
        <v/>
      </c>
      <c r="R21" s="86" t="str">
        <f t="shared" si="5"/>
        <v/>
      </c>
      <c r="S21" s="86" t="str">
        <f t="shared" si="5"/>
        <v/>
      </c>
      <c r="T21" s="86" t="str">
        <f t="shared" si="5"/>
        <v/>
      </c>
      <c r="U21" s="86" t="str">
        <f t="shared" si="5"/>
        <v/>
      </c>
      <c r="V21" s="86" t="str">
        <f t="shared" si="5"/>
        <v/>
      </c>
      <c r="W21" s="86" t="str">
        <f t="shared" si="5"/>
        <v/>
      </c>
      <c r="X21" s="86" t="str">
        <f t="shared" si="5"/>
        <v/>
      </c>
      <c r="Y21" s="86" t="str">
        <f t="shared" si="5"/>
        <v/>
      </c>
      <c r="Z21" s="86" t="str">
        <f t="shared" si="5"/>
        <v/>
      </c>
      <c r="AA21" s="86" t="str">
        <f t="shared" si="5"/>
        <v/>
      </c>
      <c r="AB21" s="86" t="str">
        <f t="shared" si="5"/>
        <v/>
      </c>
      <c r="AC21" s="86" t="str">
        <f t="shared" si="5"/>
        <v/>
      </c>
    </row>
    <row r="22" spans="1:29" x14ac:dyDescent="0.25">
      <c r="A22" s="72" t="str">
        <f>IF(Fijos!$C20="","",Fijos!$A20)</f>
        <v/>
      </c>
      <c r="B22" s="76" t="str">
        <f>IF(Fijos!$C20="","",Fijos!$C20)</f>
        <v/>
      </c>
      <c r="C22" s="87" t="str">
        <f>IF(Fijos!$C20="","",Fijos!$F20)</f>
        <v/>
      </c>
      <c r="D22" s="87" t="str">
        <f>IF(Fijos!$C20="","",Fijos!$G20)</f>
        <v/>
      </c>
      <c r="E22" s="87" t="str">
        <f>IF(Fijos!$C20="","",Fijos!$I20)</f>
        <v/>
      </c>
      <c r="F22" s="86" t="str">
        <f t="shared" si="4"/>
        <v/>
      </c>
      <c r="G22" s="86" t="str">
        <f t="shared" si="4"/>
        <v/>
      </c>
      <c r="H22" s="86" t="str">
        <f t="shared" si="4"/>
        <v/>
      </c>
      <c r="I22" s="86" t="str">
        <f t="shared" si="4"/>
        <v/>
      </c>
      <c r="J22" s="86" t="str">
        <f t="shared" si="4"/>
        <v/>
      </c>
      <c r="K22" s="86" t="str">
        <f t="shared" si="4"/>
        <v/>
      </c>
      <c r="L22" s="86" t="str">
        <f t="shared" si="4"/>
        <v/>
      </c>
      <c r="M22" s="86" t="str">
        <f t="shared" si="4"/>
        <v/>
      </c>
      <c r="N22" s="86" t="str">
        <f t="shared" si="4"/>
        <v/>
      </c>
      <c r="O22" s="86" t="str">
        <f t="shared" si="4"/>
        <v/>
      </c>
      <c r="P22" s="86" t="str">
        <f t="shared" si="5"/>
        <v/>
      </c>
      <c r="Q22" s="86" t="str">
        <f t="shared" si="5"/>
        <v/>
      </c>
      <c r="R22" s="86" t="str">
        <f t="shared" si="5"/>
        <v/>
      </c>
      <c r="S22" s="86" t="str">
        <f t="shared" si="5"/>
        <v/>
      </c>
      <c r="T22" s="86" t="str">
        <f t="shared" si="5"/>
        <v/>
      </c>
      <c r="U22" s="86" t="str">
        <f t="shared" si="5"/>
        <v/>
      </c>
      <c r="V22" s="86" t="str">
        <f t="shared" si="5"/>
        <v/>
      </c>
      <c r="W22" s="86" t="str">
        <f t="shared" si="5"/>
        <v/>
      </c>
      <c r="X22" s="86" t="str">
        <f t="shared" si="5"/>
        <v/>
      </c>
      <c r="Y22" s="86" t="str">
        <f t="shared" si="5"/>
        <v/>
      </c>
      <c r="Z22" s="86" t="str">
        <f t="shared" si="5"/>
        <v/>
      </c>
      <c r="AA22" s="86" t="str">
        <f t="shared" si="5"/>
        <v/>
      </c>
      <c r="AB22" s="86" t="str">
        <f t="shared" si="5"/>
        <v/>
      </c>
      <c r="AC22" s="86" t="str">
        <f t="shared" si="5"/>
        <v/>
      </c>
    </row>
    <row r="23" spans="1:29" x14ac:dyDescent="0.25">
      <c r="A23" s="67" t="str">
        <f>IF(Fijos!$C21="","",Fijos!$A21)</f>
        <v/>
      </c>
      <c r="B23" s="75" t="str">
        <f>IF(Fijos!$C21="","",Fijos!$C21)</f>
        <v/>
      </c>
      <c r="C23" s="85" t="str">
        <f>IF(Fijos!$C21="","",Fijos!$F21)</f>
        <v/>
      </c>
      <c r="D23" s="85" t="str">
        <f>IF(Fijos!$C21="","",Fijos!$G21)</f>
        <v/>
      </c>
      <c r="E23" s="85" t="str">
        <f>IF(Fijos!$C21="","",Fijos!$I21)</f>
        <v/>
      </c>
      <c r="F23" s="86" t="str">
        <f t="shared" si="4"/>
        <v/>
      </c>
      <c r="G23" s="86" t="str">
        <f t="shared" si="4"/>
        <v/>
      </c>
      <c r="H23" s="86" t="str">
        <f t="shared" si="4"/>
        <v/>
      </c>
      <c r="I23" s="86" t="str">
        <f t="shared" si="4"/>
        <v/>
      </c>
      <c r="J23" s="86" t="str">
        <f t="shared" si="4"/>
        <v/>
      </c>
      <c r="K23" s="86" t="str">
        <f t="shared" si="4"/>
        <v/>
      </c>
      <c r="L23" s="86" t="str">
        <f t="shared" si="4"/>
        <v/>
      </c>
      <c r="M23" s="86" t="str">
        <f t="shared" si="4"/>
        <v/>
      </c>
      <c r="N23" s="86" t="str">
        <f t="shared" si="4"/>
        <v/>
      </c>
      <c r="O23" s="86" t="str">
        <f t="shared" si="4"/>
        <v/>
      </c>
      <c r="P23" s="86" t="str">
        <f t="shared" si="5"/>
        <v/>
      </c>
      <c r="Q23" s="86" t="str">
        <f t="shared" si="5"/>
        <v/>
      </c>
      <c r="R23" s="86" t="str">
        <f t="shared" si="5"/>
        <v/>
      </c>
      <c r="S23" s="86" t="str">
        <f t="shared" si="5"/>
        <v/>
      </c>
      <c r="T23" s="86" t="str">
        <f t="shared" si="5"/>
        <v/>
      </c>
      <c r="U23" s="86" t="str">
        <f t="shared" si="5"/>
        <v/>
      </c>
      <c r="V23" s="86" t="str">
        <f t="shared" si="5"/>
        <v/>
      </c>
      <c r="W23" s="86" t="str">
        <f t="shared" si="5"/>
        <v/>
      </c>
      <c r="X23" s="86" t="str">
        <f t="shared" si="5"/>
        <v/>
      </c>
      <c r="Y23" s="86" t="str">
        <f t="shared" si="5"/>
        <v/>
      </c>
      <c r="Z23" s="86" t="str">
        <f t="shared" si="5"/>
        <v/>
      </c>
      <c r="AA23" s="86" t="str">
        <f t="shared" si="5"/>
        <v/>
      </c>
      <c r="AB23" s="86" t="str">
        <f t="shared" si="5"/>
        <v/>
      </c>
      <c r="AC23" s="86" t="str">
        <f t="shared" si="5"/>
        <v/>
      </c>
    </row>
    <row r="24" spans="1:29" x14ac:dyDescent="0.25">
      <c r="A24" s="72" t="str">
        <f>IF(Fijos!$C22="","",Fijos!$A22)</f>
        <v/>
      </c>
      <c r="B24" s="76" t="str">
        <f>IF(Fijos!$C22="","",Fijos!$C22)</f>
        <v/>
      </c>
      <c r="C24" s="87" t="str">
        <f>IF(Fijos!$C22="","",Fijos!$F22)</f>
        <v/>
      </c>
      <c r="D24" s="87" t="str">
        <f>IF(Fijos!$C22="","",Fijos!$G22)</f>
        <v/>
      </c>
      <c r="E24" s="87" t="str">
        <f>IF(Fijos!$C22="","",Fijos!$I22)</f>
        <v/>
      </c>
      <c r="F24" s="86" t="str">
        <f t="shared" si="4"/>
        <v/>
      </c>
      <c r="G24" s="86" t="str">
        <f t="shared" si="4"/>
        <v/>
      </c>
      <c r="H24" s="86" t="str">
        <f t="shared" si="4"/>
        <v/>
      </c>
      <c r="I24" s="86" t="str">
        <f t="shared" si="4"/>
        <v/>
      </c>
      <c r="J24" s="86" t="str">
        <f t="shared" si="4"/>
        <v/>
      </c>
      <c r="K24" s="86" t="str">
        <f t="shared" si="4"/>
        <v/>
      </c>
      <c r="L24" s="86" t="str">
        <f t="shared" si="4"/>
        <v/>
      </c>
      <c r="M24" s="86" t="str">
        <f t="shared" si="4"/>
        <v/>
      </c>
      <c r="N24" s="86" t="str">
        <f t="shared" si="4"/>
        <v/>
      </c>
      <c r="O24" s="86" t="str">
        <f t="shared" si="4"/>
        <v/>
      </c>
      <c r="P24" s="86" t="str">
        <f t="shared" si="5"/>
        <v/>
      </c>
      <c r="Q24" s="86" t="str">
        <f t="shared" si="5"/>
        <v/>
      </c>
      <c r="R24" s="86" t="str">
        <f t="shared" si="5"/>
        <v/>
      </c>
      <c r="S24" s="86" t="str">
        <f t="shared" si="5"/>
        <v/>
      </c>
      <c r="T24" s="86" t="str">
        <f t="shared" si="5"/>
        <v/>
      </c>
      <c r="U24" s="86" t="str">
        <f t="shared" si="5"/>
        <v/>
      </c>
      <c r="V24" s="86" t="str">
        <f t="shared" si="5"/>
        <v/>
      </c>
      <c r="W24" s="86" t="str">
        <f t="shared" si="5"/>
        <v/>
      </c>
      <c r="X24" s="86" t="str">
        <f t="shared" si="5"/>
        <v/>
      </c>
      <c r="Y24" s="86" t="str">
        <f t="shared" si="5"/>
        <v/>
      </c>
      <c r="Z24" s="86" t="str">
        <f t="shared" si="5"/>
        <v/>
      </c>
      <c r="AA24" s="86" t="str">
        <f t="shared" si="5"/>
        <v/>
      </c>
      <c r="AB24" s="86" t="str">
        <f t="shared" si="5"/>
        <v/>
      </c>
      <c r="AC24" s="86" t="str">
        <f t="shared" si="5"/>
        <v/>
      </c>
    </row>
    <row r="25" spans="1:29" x14ac:dyDescent="0.25">
      <c r="A25" s="67" t="str">
        <f>IF(Fijos!$C23="","",Fijos!$A23)</f>
        <v/>
      </c>
      <c r="B25" s="75" t="str">
        <f>IF(Fijos!$C23="","",Fijos!$C23)</f>
        <v/>
      </c>
      <c r="C25" s="85" t="str">
        <f>IF(Fijos!$C23="","",Fijos!$F23)</f>
        <v/>
      </c>
      <c r="D25" s="85" t="str">
        <f>IF(Fijos!$C23="","",Fijos!$G23)</f>
        <v/>
      </c>
      <c r="E25" s="85" t="str">
        <f>IF(Fijos!$C23="","",Fijos!$I23)</f>
        <v/>
      </c>
      <c r="F25" s="86" t="str">
        <f t="shared" si="4"/>
        <v/>
      </c>
      <c r="G25" s="86" t="str">
        <f t="shared" si="4"/>
        <v/>
      </c>
      <c r="H25" s="86" t="str">
        <f t="shared" si="4"/>
        <v/>
      </c>
      <c r="I25" s="86" t="str">
        <f t="shared" si="4"/>
        <v/>
      </c>
      <c r="J25" s="86" t="str">
        <f t="shared" si="4"/>
        <v/>
      </c>
      <c r="K25" s="86" t="str">
        <f t="shared" si="4"/>
        <v/>
      </c>
      <c r="L25" s="86" t="str">
        <f t="shared" si="4"/>
        <v/>
      </c>
      <c r="M25" s="86" t="str">
        <f t="shared" si="4"/>
        <v/>
      </c>
      <c r="N25" s="86" t="str">
        <f t="shared" si="4"/>
        <v/>
      </c>
      <c r="O25" s="86" t="str">
        <f t="shared" si="4"/>
        <v/>
      </c>
      <c r="P25" s="86" t="str">
        <f t="shared" si="5"/>
        <v/>
      </c>
      <c r="Q25" s="86" t="str">
        <f t="shared" si="5"/>
        <v/>
      </c>
      <c r="R25" s="86" t="str">
        <f t="shared" si="5"/>
        <v/>
      </c>
      <c r="S25" s="86" t="str">
        <f t="shared" si="5"/>
        <v/>
      </c>
      <c r="T25" s="86" t="str">
        <f t="shared" si="5"/>
        <v/>
      </c>
      <c r="U25" s="86" t="str">
        <f t="shared" si="5"/>
        <v/>
      </c>
      <c r="V25" s="86" t="str">
        <f t="shared" si="5"/>
        <v/>
      </c>
      <c r="W25" s="86" t="str">
        <f t="shared" si="5"/>
        <v/>
      </c>
      <c r="X25" s="86" t="str">
        <f t="shared" si="5"/>
        <v/>
      </c>
      <c r="Y25" s="86" t="str">
        <f t="shared" si="5"/>
        <v/>
      </c>
      <c r="Z25" s="86" t="str">
        <f t="shared" si="5"/>
        <v/>
      </c>
      <c r="AA25" s="86" t="str">
        <f t="shared" si="5"/>
        <v/>
      </c>
      <c r="AB25" s="86" t="str">
        <f t="shared" si="5"/>
        <v/>
      </c>
      <c r="AC25" s="86" t="str">
        <f t="shared" si="5"/>
        <v/>
      </c>
    </row>
    <row r="26" spans="1:29" x14ac:dyDescent="0.25">
      <c r="A26" s="72" t="str">
        <f>IF(Fijos!$C24="","",Fijos!$A24)</f>
        <v/>
      </c>
      <c r="B26" s="76" t="str">
        <f>IF(Fijos!$C24="","",Fijos!$C24)</f>
        <v/>
      </c>
      <c r="C26" s="87" t="str">
        <f>IF(Fijos!$C24="","",Fijos!$F24)</f>
        <v/>
      </c>
      <c r="D26" s="87" t="str">
        <f>IF(Fijos!$C24="","",Fijos!$G24)</f>
        <v/>
      </c>
      <c r="E26" s="87" t="str">
        <f>IF(Fijos!$C24="","",Fijos!$I24)</f>
        <v/>
      </c>
      <c r="F26" s="86" t="str">
        <f t="shared" si="4"/>
        <v/>
      </c>
      <c r="G26" s="86" t="str">
        <f t="shared" si="4"/>
        <v/>
      </c>
      <c r="H26" s="86" t="str">
        <f t="shared" si="4"/>
        <v/>
      </c>
      <c r="I26" s="86" t="str">
        <f t="shared" si="4"/>
        <v/>
      </c>
      <c r="J26" s="86" t="str">
        <f t="shared" si="4"/>
        <v/>
      </c>
      <c r="K26" s="86" t="str">
        <f t="shared" si="4"/>
        <v/>
      </c>
      <c r="L26" s="86" t="str">
        <f t="shared" si="4"/>
        <v/>
      </c>
      <c r="M26" s="86" t="str">
        <f t="shared" si="4"/>
        <v/>
      </c>
      <c r="N26" s="86" t="str">
        <f t="shared" si="4"/>
        <v/>
      </c>
      <c r="O26" s="86" t="str">
        <f t="shared" si="4"/>
        <v/>
      </c>
      <c r="P26" s="86" t="str">
        <f t="shared" si="5"/>
        <v/>
      </c>
      <c r="Q26" s="86" t="str">
        <f t="shared" si="5"/>
        <v/>
      </c>
      <c r="R26" s="86" t="str">
        <f t="shared" si="5"/>
        <v/>
      </c>
      <c r="S26" s="86" t="str">
        <f t="shared" si="5"/>
        <v/>
      </c>
      <c r="T26" s="86" t="str">
        <f t="shared" si="5"/>
        <v/>
      </c>
      <c r="U26" s="86" t="str">
        <f t="shared" si="5"/>
        <v/>
      </c>
      <c r="V26" s="86" t="str">
        <f t="shared" si="5"/>
        <v/>
      </c>
      <c r="W26" s="86" t="str">
        <f t="shared" si="5"/>
        <v/>
      </c>
      <c r="X26" s="86" t="str">
        <f t="shared" si="5"/>
        <v/>
      </c>
      <c r="Y26" s="86" t="str">
        <f t="shared" si="5"/>
        <v/>
      </c>
      <c r="Z26" s="86" t="str">
        <f t="shared" si="5"/>
        <v/>
      </c>
      <c r="AA26" s="86" t="str">
        <f t="shared" si="5"/>
        <v/>
      </c>
      <c r="AB26" s="86" t="str">
        <f t="shared" si="5"/>
        <v/>
      </c>
      <c r="AC26" s="86" t="str">
        <f t="shared" si="5"/>
        <v/>
      </c>
    </row>
    <row r="27" spans="1:29" x14ac:dyDescent="0.25">
      <c r="A27" s="67" t="str">
        <f>IF(Fijos!$C25="","",Fijos!$A25)</f>
        <v/>
      </c>
      <c r="B27" s="75" t="str">
        <f>IF(Fijos!$C25="","",Fijos!$C25)</f>
        <v/>
      </c>
      <c r="C27" s="85" t="str">
        <f>IF(Fijos!$C25="","",Fijos!$F25)</f>
        <v/>
      </c>
      <c r="D27" s="85" t="str">
        <f>IF(Fijos!$C25="","",Fijos!$G25)</f>
        <v/>
      </c>
      <c r="E27" s="85" t="str">
        <f>IF(Fijos!$C25="","",Fijos!$I25)</f>
        <v/>
      </c>
      <c r="F27" s="86" t="str">
        <f t="shared" si="4"/>
        <v/>
      </c>
      <c r="G27" s="86" t="str">
        <f t="shared" si="4"/>
        <v/>
      </c>
      <c r="H27" s="86" t="str">
        <f t="shared" si="4"/>
        <v/>
      </c>
      <c r="I27" s="86" t="str">
        <f t="shared" si="4"/>
        <v/>
      </c>
      <c r="J27" s="86" t="str">
        <f t="shared" si="4"/>
        <v/>
      </c>
      <c r="K27" s="86" t="str">
        <f t="shared" si="4"/>
        <v/>
      </c>
      <c r="L27" s="86" t="str">
        <f t="shared" si="4"/>
        <v/>
      </c>
      <c r="M27" s="86" t="str">
        <f t="shared" si="4"/>
        <v/>
      </c>
      <c r="N27" s="86" t="str">
        <f t="shared" si="4"/>
        <v/>
      </c>
      <c r="O27" s="86" t="str">
        <f t="shared" si="4"/>
        <v/>
      </c>
      <c r="P27" s="86" t="str">
        <f t="shared" si="5"/>
        <v/>
      </c>
      <c r="Q27" s="86" t="str">
        <f t="shared" si="5"/>
        <v/>
      </c>
      <c r="R27" s="86" t="str">
        <f t="shared" si="5"/>
        <v/>
      </c>
      <c r="S27" s="86" t="str">
        <f t="shared" si="5"/>
        <v/>
      </c>
      <c r="T27" s="86" t="str">
        <f t="shared" si="5"/>
        <v/>
      </c>
      <c r="U27" s="86" t="str">
        <f t="shared" si="5"/>
        <v/>
      </c>
      <c r="V27" s="86" t="str">
        <f t="shared" si="5"/>
        <v/>
      </c>
      <c r="W27" s="86" t="str">
        <f t="shared" si="5"/>
        <v/>
      </c>
      <c r="X27" s="86" t="str">
        <f t="shared" si="5"/>
        <v/>
      </c>
      <c r="Y27" s="86" t="str">
        <f t="shared" si="5"/>
        <v/>
      </c>
      <c r="Z27" s="86" t="str">
        <f t="shared" si="5"/>
        <v/>
      </c>
      <c r="AA27" s="86" t="str">
        <f t="shared" si="5"/>
        <v/>
      </c>
      <c r="AB27" s="86" t="str">
        <f t="shared" si="5"/>
        <v/>
      </c>
      <c r="AC27" s="86" t="str">
        <f t="shared" si="5"/>
        <v/>
      </c>
    </row>
    <row r="28" spans="1:29" x14ac:dyDescent="0.25">
      <c r="A28" s="72" t="str">
        <f>IF(Fijos!$C26="","",Fijos!$A26)</f>
        <v/>
      </c>
      <c r="B28" s="76" t="str">
        <f>IF(Fijos!$C26="","",Fijos!$C26)</f>
        <v/>
      </c>
      <c r="C28" s="87" t="str">
        <f>IF(Fijos!$C26="","",Fijos!$F26)</f>
        <v/>
      </c>
      <c r="D28" s="87" t="str">
        <f>IF(Fijos!$C26="","",Fijos!$G26)</f>
        <v/>
      </c>
      <c r="E28" s="87" t="str">
        <f>IF(Fijos!$C26="","",Fijos!$I26)</f>
        <v/>
      </c>
      <c r="F28" s="86" t="str">
        <f t="shared" si="4"/>
        <v/>
      </c>
      <c r="G28" s="86" t="str">
        <f t="shared" si="4"/>
        <v/>
      </c>
      <c r="H28" s="86" t="str">
        <f t="shared" si="4"/>
        <v/>
      </c>
      <c r="I28" s="86" t="str">
        <f t="shared" si="4"/>
        <v/>
      </c>
      <c r="J28" s="86" t="str">
        <f t="shared" si="4"/>
        <v/>
      </c>
      <c r="K28" s="86" t="str">
        <f t="shared" si="4"/>
        <v/>
      </c>
      <c r="L28" s="86" t="str">
        <f t="shared" si="4"/>
        <v/>
      </c>
      <c r="M28" s="86" t="str">
        <f t="shared" si="4"/>
        <v/>
      </c>
      <c r="N28" s="86" t="str">
        <f t="shared" si="4"/>
        <v/>
      </c>
      <c r="O28" s="86" t="str">
        <f t="shared" si="4"/>
        <v/>
      </c>
      <c r="P28" s="86" t="str">
        <f t="shared" si="5"/>
        <v/>
      </c>
      <c r="Q28" s="86" t="str">
        <f t="shared" si="5"/>
        <v/>
      </c>
      <c r="R28" s="86" t="str">
        <f t="shared" si="5"/>
        <v/>
      </c>
      <c r="S28" s="86" t="str">
        <f t="shared" si="5"/>
        <v/>
      </c>
      <c r="T28" s="86" t="str">
        <f t="shared" si="5"/>
        <v/>
      </c>
      <c r="U28" s="86" t="str">
        <f t="shared" si="5"/>
        <v/>
      </c>
      <c r="V28" s="86" t="str">
        <f t="shared" si="5"/>
        <v/>
      </c>
      <c r="W28" s="86" t="str">
        <f t="shared" si="5"/>
        <v/>
      </c>
      <c r="X28" s="86" t="str">
        <f t="shared" si="5"/>
        <v/>
      </c>
      <c r="Y28" s="86" t="str">
        <f t="shared" si="5"/>
        <v/>
      </c>
      <c r="Z28" s="86" t="str">
        <f t="shared" si="5"/>
        <v/>
      </c>
      <c r="AA28" s="86" t="str">
        <f t="shared" si="5"/>
        <v/>
      </c>
      <c r="AB28" s="86" t="str">
        <f t="shared" si="5"/>
        <v/>
      </c>
      <c r="AC28" s="86" t="str">
        <f t="shared" si="5"/>
        <v/>
      </c>
    </row>
    <row r="29" spans="1:29" x14ac:dyDescent="0.25">
      <c r="A29" s="67" t="str">
        <f>IF(Fijos!$C27="","",Fijos!$A27)</f>
        <v/>
      </c>
      <c r="B29" s="75" t="str">
        <f>IF(Fijos!$C27="","",Fijos!$C27)</f>
        <v/>
      </c>
      <c r="C29" s="85" t="str">
        <f>IF(Fijos!$C27="","",Fijos!$F27)</f>
        <v/>
      </c>
      <c r="D29" s="85" t="str">
        <f>IF(Fijos!$C27="","",Fijos!$G27)</f>
        <v/>
      </c>
      <c r="E29" s="85" t="str">
        <f>IF(Fijos!$C27="","",Fijos!$I27)</f>
        <v/>
      </c>
      <c r="F29" s="86" t="str">
        <f t="shared" si="4"/>
        <v/>
      </c>
      <c r="G29" s="86" t="str">
        <f t="shared" si="4"/>
        <v/>
      </c>
      <c r="H29" s="86" t="str">
        <f t="shared" si="4"/>
        <v/>
      </c>
      <c r="I29" s="86" t="str">
        <f t="shared" si="4"/>
        <v/>
      </c>
      <c r="J29" s="86" t="str">
        <f t="shared" si="4"/>
        <v/>
      </c>
      <c r="K29" s="86" t="str">
        <f t="shared" si="4"/>
        <v/>
      </c>
      <c r="L29" s="86" t="str">
        <f t="shared" si="4"/>
        <v/>
      </c>
      <c r="M29" s="86" t="str">
        <f t="shared" si="4"/>
        <v/>
      </c>
      <c r="N29" s="86" t="str">
        <f t="shared" si="4"/>
        <v/>
      </c>
      <c r="O29" s="86" t="str">
        <f t="shared" si="4"/>
        <v/>
      </c>
      <c r="P29" s="86" t="str">
        <f t="shared" si="5"/>
        <v/>
      </c>
      <c r="Q29" s="86" t="str">
        <f t="shared" si="5"/>
        <v/>
      </c>
      <c r="R29" s="86" t="str">
        <f t="shared" si="5"/>
        <v/>
      </c>
      <c r="S29" s="86" t="str">
        <f t="shared" si="5"/>
        <v/>
      </c>
      <c r="T29" s="86" t="str">
        <f t="shared" si="5"/>
        <v/>
      </c>
      <c r="U29" s="86" t="str">
        <f t="shared" si="5"/>
        <v/>
      </c>
      <c r="V29" s="86" t="str">
        <f t="shared" si="5"/>
        <v/>
      </c>
      <c r="W29" s="86" t="str">
        <f t="shared" si="5"/>
        <v/>
      </c>
      <c r="X29" s="86" t="str">
        <f t="shared" si="5"/>
        <v/>
      </c>
      <c r="Y29" s="86" t="str">
        <f t="shared" si="5"/>
        <v/>
      </c>
      <c r="Z29" s="86" t="str">
        <f t="shared" si="5"/>
        <v/>
      </c>
      <c r="AA29" s="86" t="str">
        <f t="shared" si="5"/>
        <v/>
      </c>
      <c r="AB29" s="86" t="str">
        <f t="shared" si="5"/>
        <v/>
      </c>
      <c r="AC29" s="86" t="str">
        <f t="shared" si="5"/>
        <v/>
      </c>
    </row>
    <row r="30" spans="1:29" x14ac:dyDescent="0.25">
      <c r="A30" s="72" t="str">
        <f>IF(Fijos!$C28="","",Fijos!$A28)</f>
        <v/>
      </c>
      <c r="B30" s="76" t="str">
        <f>IF(Fijos!$C28="","",Fijos!$C28)</f>
        <v/>
      </c>
      <c r="C30" s="87" t="str">
        <f>IF(Fijos!$C28="","",Fijos!$F28)</f>
        <v/>
      </c>
      <c r="D30" s="87" t="str">
        <f>IF(Fijos!$C28="","",Fijos!$G28)</f>
        <v/>
      </c>
      <c r="E30" s="87" t="str">
        <f>IF(Fijos!$C28="","",Fijos!$I28)</f>
        <v/>
      </c>
      <c r="F30" s="86" t="str">
        <f t="shared" si="4"/>
        <v/>
      </c>
      <c r="G30" s="86" t="str">
        <f t="shared" si="4"/>
        <v/>
      </c>
      <c r="H30" s="86" t="str">
        <f t="shared" si="4"/>
        <v/>
      </c>
      <c r="I30" s="86" t="str">
        <f t="shared" si="4"/>
        <v/>
      </c>
      <c r="J30" s="86" t="str">
        <f t="shared" si="4"/>
        <v/>
      </c>
      <c r="K30" s="86" t="str">
        <f t="shared" si="4"/>
        <v/>
      </c>
      <c r="L30" s="86" t="str">
        <f t="shared" si="4"/>
        <v/>
      </c>
      <c r="M30" s="86" t="str">
        <f t="shared" si="4"/>
        <v/>
      </c>
      <c r="N30" s="86" t="str">
        <f t="shared" si="4"/>
        <v/>
      </c>
      <c r="O30" s="86" t="str">
        <f t="shared" si="4"/>
        <v/>
      </c>
      <c r="P30" s="86" t="str">
        <f t="shared" si="5"/>
        <v/>
      </c>
      <c r="Q30" s="86" t="str">
        <f t="shared" si="5"/>
        <v/>
      </c>
      <c r="R30" s="86" t="str">
        <f t="shared" si="5"/>
        <v/>
      </c>
      <c r="S30" s="86" t="str">
        <f t="shared" si="5"/>
        <v/>
      </c>
      <c r="T30" s="86" t="str">
        <f t="shared" si="5"/>
        <v/>
      </c>
      <c r="U30" s="86" t="str">
        <f t="shared" si="5"/>
        <v/>
      </c>
      <c r="V30" s="86" t="str">
        <f t="shared" si="5"/>
        <v/>
      </c>
      <c r="W30" s="86" t="str">
        <f t="shared" si="5"/>
        <v/>
      </c>
      <c r="X30" s="86" t="str">
        <f t="shared" si="5"/>
        <v/>
      </c>
      <c r="Y30" s="86" t="str">
        <f t="shared" si="5"/>
        <v/>
      </c>
      <c r="Z30" s="86" t="str">
        <f t="shared" si="5"/>
        <v/>
      </c>
      <c r="AA30" s="86" t="str">
        <f t="shared" si="5"/>
        <v/>
      </c>
      <c r="AB30" s="86" t="str">
        <f t="shared" si="5"/>
        <v/>
      </c>
      <c r="AC30" s="86" t="str">
        <f t="shared" si="5"/>
        <v/>
      </c>
    </row>
    <row r="32" spans="1:29" x14ac:dyDescent="0.25">
      <c r="A32" s="92" t="s">
        <v>220</v>
      </c>
      <c r="B32" s="92"/>
      <c r="C32" s="92"/>
      <c r="D32" s="92"/>
      <c r="E32" s="92"/>
      <c r="F32" s="88">
        <f ca="1">IF(AND(F$8&lt;TODAY(),F$8&gt;=Fecha_Inicio),SUMPRODUCT(($E$9:$E$30="Sí")*(($D$9:$D$30=F$7)+($D$9:$D$30="Ambas"))*($B$9:$B$30&lt;&gt;"")*(F$9:F$30=0)),0)</f>
        <v>0</v>
      </c>
      <c r="G32" s="88">
        <f ca="1">IF(AND(G$8&lt;TODAY(),G$8&gt;=Fecha_Inicio),SUMPRODUCT(($E$9:$E$30="Sí")*(($D$9:$D$30=G$7)+($D$9:$D$30="Ambas"))*($B$9:$B$30&lt;&gt;"")*(G$9:G$30=0)),0)</f>
        <v>0</v>
      </c>
      <c r="H32" s="88">
        <f ca="1">IF(AND(H$8&lt;TODAY(),H$8&gt;=Fecha_Inicio),SUMPRODUCT(($E$9:$E$30="Sí")*(($D$9:$D$30=H$7)+($D$9:$D$30="Ambas"))*($B$9:$B$30&lt;&gt;"")*(H$9:H$30=0)),0)</f>
        <v>0</v>
      </c>
      <c r="I32" s="88">
        <f ca="1">IF(AND(I$8&lt;TODAY(),I$8&gt;=Fecha_Inicio),SUMPRODUCT(($E$9:$E$30="Sí")*(($D$9:$D$30=I$7)+($D$9:$D$30="Ambas"))*($B$9:$B$30&lt;&gt;"")*(I$9:I$30=0)),0)</f>
        <v>0</v>
      </c>
      <c r="J32" s="88">
        <f ca="1">IF(AND(J$8&lt;TODAY(),J$8&gt;=Fecha_Inicio),SUMPRODUCT(($E$9:$E$30="Sí")*(($D$9:$D$30=J$7)+($D$9:$D$30="Ambas"))*($B$9:$B$30&lt;&gt;"")*(J$9:J$30=0)),0)</f>
        <v>0</v>
      </c>
      <c r="K32" s="88">
        <f ca="1">IF(AND(K$8&lt;TODAY(),K$8&gt;=Fecha_Inicio),SUMPRODUCT(($E$9:$E$30="Sí")*(($D$9:$D$30=K$7)+($D$9:$D$30="Ambas"))*($B$9:$B$30&lt;&gt;"")*(K$9:K$30=0)),0)</f>
        <v>0</v>
      </c>
      <c r="L32" s="88">
        <f ca="1">IF(AND(L$8&lt;TODAY(),L$8&gt;=Fecha_Inicio),SUMPRODUCT(($E$9:$E$30="Sí")*(($D$9:$D$30=L$7)+($D$9:$D$30="Ambas"))*($B$9:$B$30&lt;&gt;"")*(L$9:L$30=0)),0)</f>
        <v>0</v>
      </c>
      <c r="M32" s="88">
        <f ca="1">IF(AND(M$8&lt;TODAY(),M$8&gt;=Fecha_Inicio),SUMPRODUCT(($E$9:$E$30="Sí")*(($D$9:$D$30=M$7)+($D$9:$D$30="Ambas"))*($B$9:$B$30&lt;&gt;"")*(M$9:M$30=0)),0)</f>
        <v>0</v>
      </c>
      <c r="N32" s="88">
        <f ca="1">IF(AND(N$8&lt;TODAY(),N$8&gt;=Fecha_Inicio),SUMPRODUCT(($E$9:$E$30="Sí")*(($D$9:$D$30=N$7)+($D$9:$D$30="Ambas"))*($B$9:$B$30&lt;&gt;"")*(N$9:N$30=0)),0)</f>
        <v>0</v>
      </c>
      <c r="O32" s="88">
        <f ca="1">IF(AND(O$8&lt;TODAY(),O$8&gt;=Fecha_Inicio),SUMPRODUCT(($E$9:$E$30="Sí")*(($D$9:$D$30=O$7)+($D$9:$D$30="Ambas"))*($B$9:$B$30&lt;&gt;"")*(O$9:O$30=0)),0)</f>
        <v>0</v>
      </c>
      <c r="P32" s="88">
        <f ca="1">IF(AND(P$8&lt;TODAY(),P$8&gt;=Fecha_Inicio),SUMPRODUCT(($E$9:$E$30="Sí")*(($D$9:$D$30=P$7)+($D$9:$D$30="Ambas"))*($B$9:$B$30&lt;&gt;"")*(P$9:P$30=0)),0)</f>
        <v>0</v>
      </c>
      <c r="Q32" s="88">
        <f ca="1">IF(AND(Q$8&lt;TODAY(),Q$8&gt;=Fecha_Inicio),SUMPRODUCT(($E$9:$E$30="Sí")*(($D$9:$D$30=Q$7)+($D$9:$D$30="Ambas"))*($B$9:$B$30&lt;&gt;"")*(Q$9:Q$30=0)),0)</f>
        <v>0</v>
      </c>
      <c r="R32" s="88">
        <f ca="1">IF(AND(R$8&lt;TODAY(),R$8&gt;=Fecha_Inicio),SUMPRODUCT(($E$9:$E$30="Sí")*(($D$9:$D$30=R$7)+($D$9:$D$30="Ambas"))*($B$9:$B$30&lt;&gt;"")*(R$9:R$30=0)),0)</f>
        <v>0</v>
      </c>
      <c r="S32" s="88">
        <f ca="1">IF(AND(S$8&lt;TODAY(),S$8&gt;=Fecha_Inicio),SUMPRODUCT(($E$9:$E$30="Sí")*(($D$9:$D$30=S$7)+($D$9:$D$30="Ambas"))*($B$9:$B$30&lt;&gt;"")*(S$9:S$30=0)),0)</f>
        <v>0</v>
      </c>
      <c r="T32" s="88">
        <f ca="1">IF(AND(T$8&lt;TODAY(),T$8&gt;=Fecha_Inicio),SUMPRODUCT(($E$9:$E$30="Sí")*(($D$9:$D$30=T$7)+($D$9:$D$30="Ambas"))*($B$9:$B$30&lt;&gt;"")*(T$9:T$30=0)),0)</f>
        <v>0</v>
      </c>
      <c r="U32" s="88">
        <f ca="1">IF(AND(U$8&lt;TODAY(),U$8&gt;=Fecha_Inicio),SUMPRODUCT(($E$9:$E$30="Sí")*(($D$9:$D$30=U$7)+($D$9:$D$30="Ambas"))*($B$9:$B$30&lt;&gt;"")*(U$9:U$30=0)),0)</f>
        <v>0</v>
      </c>
      <c r="V32" s="88">
        <f ca="1">IF(AND(V$8&lt;TODAY(),V$8&gt;=Fecha_Inicio),SUMPRODUCT(($E$9:$E$30="Sí")*(($D$9:$D$30=V$7)+($D$9:$D$30="Ambas"))*($B$9:$B$30&lt;&gt;"")*(V$9:V$30=0)),0)</f>
        <v>0</v>
      </c>
      <c r="W32" s="88">
        <f ca="1">IF(AND(W$8&lt;TODAY(),W$8&gt;=Fecha_Inicio),SUMPRODUCT(($E$9:$E$30="Sí")*(($D$9:$D$30=W$7)+($D$9:$D$30="Ambas"))*($B$9:$B$30&lt;&gt;"")*(W$9:W$30=0)),0)</f>
        <v>0</v>
      </c>
      <c r="X32" s="88">
        <f ca="1">IF(AND(X$8&lt;TODAY(),X$8&gt;=Fecha_Inicio),SUMPRODUCT(($E$9:$E$30="Sí")*(($D$9:$D$30=X$7)+($D$9:$D$30="Ambas"))*($B$9:$B$30&lt;&gt;"")*(X$9:X$30=0)),0)</f>
        <v>0</v>
      </c>
      <c r="Y32" s="88">
        <f ca="1">IF(AND(Y$8&lt;TODAY(),Y$8&gt;=Fecha_Inicio),SUMPRODUCT(($E$9:$E$30="Sí")*(($D$9:$D$30=Y$7)+($D$9:$D$30="Ambas"))*($B$9:$B$30&lt;&gt;"")*(Y$9:Y$30=0)),0)</f>
        <v>0</v>
      </c>
      <c r="Z32" s="88">
        <f ca="1">IF(AND(Z$8&lt;TODAY(),Z$8&gt;=Fecha_Inicio),SUMPRODUCT(($E$9:$E$30="Sí")*(($D$9:$D$30=Z$7)+($D$9:$D$30="Ambas"))*($B$9:$B$30&lt;&gt;"")*(Z$9:Z$30=0)),0)</f>
        <v>0</v>
      </c>
      <c r="AA32" s="88">
        <f ca="1">IF(AND(AA$8&lt;TODAY(),AA$8&gt;=Fecha_Inicio),SUMPRODUCT(($E$9:$E$30="Sí")*(($D$9:$D$30=AA$7)+($D$9:$D$30="Ambas"))*($B$9:$B$30&lt;&gt;"")*(AA$9:AA$30=0)),0)</f>
        <v>0</v>
      </c>
      <c r="AB32" s="88">
        <f ca="1">IF(AND(AB$8&lt;TODAY(),AB$8&gt;=Fecha_Inicio),SUMPRODUCT(($E$9:$E$30="Sí")*(($D$9:$D$30=AB$7)+($D$9:$D$30="Ambas"))*($B$9:$B$30&lt;&gt;"")*(AB$9:AB$30=0)),0)</f>
        <v>0</v>
      </c>
      <c r="AC32" s="88">
        <f ca="1">IF(AND(AC$8&lt;TODAY(),AC$8&gt;=Fecha_Inicio),SUMPRODUCT(($E$9:$E$30="Sí")*(($D$9:$D$30=AC$7)+($D$9:$D$30="Ambas"))*($B$9:$B$30&lt;&gt;"")*(AC$9:AC$30=0)),0)</f>
        <v>0</v>
      </c>
    </row>
  </sheetData>
  <mergeCells count="4">
    <mergeCell ref="A1:AC1"/>
    <mergeCell ref="A7:E7"/>
    <mergeCell ref="A8:E8"/>
    <mergeCell ref="A32:E32"/>
  </mergeCells>
  <conditionalFormatting sqref="F9:AC30">
    <cfRule type="expression" dxfId="9" priority="2">
      <formula>AND($B9&lt;&gt;"",$E9="Sí",OR($D9=F$7,$D9="Ambas"),F$8&lt;TODAY(),F$8&gt;=Fecha_Inicio,F9=0)</formula>
    </cfRule>
    <cfRule type="expression" dxfId="8" priority="3">
      <formula>AND($B9&lt;&gt;"",F9&gt;0)</formula>
    </cfRule>
  </conditionalFormatting>
  <conditionalFormatting sqref="F32:AC32">
    <cfRule type="cellIs" dxfId="7" priority="4" operator="greaterThan">
      <formula>0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030A0"/>
    <pageSetUpPr fitToPage="1"/>
  </sheetPr>
  <dimension ref="A1:K46"/>
  <sheetViews>
    <sheetView showGridLines="0" zoomScaleNormal="100" workbookViewId="0">
      <pane ySplit="4" topLeftCell="A5" activePane="bottomLeft" state="frozen"/>
      <selection pane="bottomLeft" activeCell="A18" sqref="A18"/>
    </sheetView>
  </sheetViews>
  <sheetFormatPr baseColWidth="10" defaultColWidth="8.7109375" defaultRowHeight="15" x14ac:dyDescent="0.25"/>
  <cols>
    <col min="1" max="1" width="26" customWidth="1"/>
    <col min="2" max="2" width="17" customWidth="1"/>
    <col min="3" max="3" width="21" customWidth="1"/>
    <col min="4" max="4" width="16" customWidth="1"/>
    <col min="5" max="5" width="21" customWidth="1"/>
    <col min="6" max="6" width="18" customWidth="1"/>
    <col min="7" max="7" width="12" customWidth="1"/>
    <col min="8" max="8" width="15" customWidth="1"/>
    <col min="9" max="9" width="34" customWidth="1"/>
    <col min="10" max="10" width="11" customWidth="1"/>
    <col min="11" max="11" width="24" customWidth="1"/>
  </cols>
  <sheetData>
    <row r="1" spans="1:11" ht="27.75" customHeight="1" x14ac:dyDescent="0.25">
      <c r="A1" s="7" t="s">
        <v>221</v>
      </c>
      <c r="B1" s="7"/>
      <c r="C1" s="7"/>
      <c r="D1" s="7"/>
      <c r="E1" s="7"/>
      <c r="F1" s="7"/>
      <c r="G1" s="7"/>
      <c r="H1" s="7"/>
      <c r="I1" s="7"/>
      <c r="J1" s="7"/>
      <c r="K1" s="7"/>
    </row>
    <row r="2" spans="1:11" x14ac:dyDescent="0.25">
      <c r="A2" s="28" t="s">
        <v>222</v>
      </c>
    </row>
    <row r="4" spans="1:11" ht="39.75" customHeight="1" x14ac:dyDescent="0.25">
      <c r="A4" s="17" t="s">
        <v>105</v>
      </c>
      <c r="B4" s="17" t="s">
        <v>104</v>
      </c>
      <c r="C4" s="17" t="s">
        <v>223</v>
      </c>
      <c r="D4" s="17" t="s">
        <v>114</v>
      </c>
      <c r="E4" s="17" t="s">
        <v>115</v>
      </c>
      <c r="F4" s="17" t="s">
        <v>193</v>
      </c>
      <c r="G4" s="17" t="s">
        <v>117</v>
      </c>
      <c r="H4" s="17" t="s">
        <v>224</v>
      </c>
      <c r="I4" s="17" t="s">
        <v>225</v>
      </c>
      <c r="J4" s="17" t="s">
        <v>121</v>
      </c>
      <c r="K4" s="17" t="s">
        <v>226</v>
      </c>
    </row>
    <row r="5" spans="1:11" x14ac:dyDescent="0.25">
      <c r="A5" s="16" t="s">
        <v>124</v>
      </c>
      <c r="B5" s="89">
        <v>1</v>
      </c>
      <c r="C5" s="52">
        <f>SUMIFS(Quincenas!$I$7:$I$30,Quincenas!$C$7:$C$30,$B5)</f>
        <v>17000</v>
      </c>
      <c r="D5" s="52">
        <f t="shared" ref="D5:D16" si="0">SUMIFS(Reg_Monto,Reg_Mes,$B5,Reg_Tipo,"Fijo")</f>
        <v>0</v>
      </c>
      <c r="E5" s="52">
        <f t="shared" ref="E5:E16" si="1">SUMIFS(Reg_Monto,Reg_Mes,$B5,Reg_Tipo,"Variable")</f>
        <v>0</v>
      </c>
      <c r="F5" s="52">
        <f t="shared" ref="F5:F16" si="2">SUMIFS(Reg_Monto,Reg_Mes,$B5,Reg_Tipo,"Ahorro")</f>
        <v>0</v>
      </c>
      <c r="G5" s="53">
        <f t="shared" ref="G5:G16" si="3">$D5+$E5+$F5</f>
        <v>0</v>
      </c>
      <c r="H5" s="53">
        <f t="shared" ref="H5:H16" si="4">$C5-$G5</f>
        <v>17000</v>
      </c>
      <c r="I5" s="19">
        <f t="shared" ref="I5:I17" si="5">IF($C5=0,0,$F5/$C5)</f>
        <v>0</v>
      </c>
      <c r="J5" s="19">
        <f t="shared" ref="J5:J17" si="6">IF($C5=0,0,$G5/$C5)</f>
        <v>0</v>
      </c>
      <c r="K5" s="80" t="str">
        <f t="shared" ref="K5:K16" si="7">IF($C5=0,"Sin ingreso",IF($G5&gt;$C5,"Sobregiro",IF($J5&gt;=Umbral_Gasto,"Cerca del límite","En orden")))</f>
        <v>En orden</v>
      </c>
    </row>
    <row r="6" spans="1:11" x14ac:dyDescent="0.25">
      <c r="A6" s="81" t="s">
        <v>127</v>
      </c>
      <c r="B6" s="90">
        <v>2</v>
      </c>
      <c r="C6" s="59">
        <f>SUMIFS(Quincenas!$I$7:$I$30,Quincenas!$C$7:$C$30,$B6)</f>
        <v>17000</v>
      </c>
      <c r="D6" s="59">
        <f t="shared" si="0"/>
        <v>0</v>
      </c>
      <c r="E6" s="59">
        <f t="shared" si="1"/>
        <v>0</v>
      </c>
      <c r="F6" s="59">
        <f t="shared" si="2"/>
        <v>0</v>
      </c>
      <c r="G6" s="60">
        <f t="shared" si="3"/>
        <v>0</v>
      </c>
      <c r="H6" s="60">
        <f t="shared" si="4"/>
        <v>17000</v>
      </c>
      <c r="I6" s="61">
        <f t="shared" si="5"/>
        <v>0</v>
      </c>
      <c r="J6" s="61">
        <f t="shared" si="6"/>
        <v>0</v>
      </c>
      <c r="K6" s="80" t="str">
        <f t="shared" si="7"/>
        <v>En orden</v>
      </c>
    </row>
    <row r="7" spans="1:11" x14ac:dyDescent="0.25">
      <c r="A7" s="16" t="s">
        <v>128</v>
      </c>
      <c r="B7" s="89">
        <v>3</v>
      </c>
      <c r="C7" s="52">
        <f>SUMIFS(Quincenas!$I$7:$I$30,Quincenas!$C$7:$C$30,$B7)</f>
        <v>17000</v>
      </c>
      <c r="D7" s="52">
        <f t="shared" si="0"/>
        <v>0</v>
      </c>
      <c r="E7" s="52">
        <f t="shared" si="1"/>
        <v>0</v>
      </c>
      <c r="F7" s="52">
        <f t="shared" si="2"/>
        <v>0</v>
      </c>
      <c r="G7" s="53">
        <f t="shared" si="3"/>
        <v>0</v>
      </c>
      <c r="H7" s="53">
        <f t="shared" si="4"/>
        <v>17000</v>
      </c>
      <c r="I7" s="19">
        <f t="shared" si="5"/>
        <v>0</v>
      </c>
      <c r="J7" s="19">
        <f t="shared" si="6"/>
        <v>0</v>
      </c>
      <c r="K7" s="80" t="str">
        <f t="shared" si="7"/>
        <v>En orden</v>
      </c>
    </row>
    <row r="8" spans="1:11" x14ac:dyDescent="0.25">
      <c r="A8" s="81" t="s">
        <v>129</v>
      </c>
      <c r="B8" s="90">
        <v>4</v>
      </c>
      <c r="C8" s="59">
        <f>SUMIFS(Quincenas!$I$7:$I$30,Quincenas!$C$7:$C$30,$B8)</f>
        <v>17000</v>
      </c>
      <c r="D8" s="59">
        <f t="shared" si="0"/>
        <v>0</v>
      </c>
      <c r="E8" s="59">
        <f t="shared" si="1"/>
        <v>0</v>
      </c>
      <c r="F8" s="59">
        <f t="shared" si="2"/>
        <v>0</v>
      </c>
      <c r="G8" s="60">
        <f t="shared" si="3"/>
        <v>0</v>
      </c>
      <c r="H8" s="60">
        <f t="shared" si="4"/>
        <v>17000</v>
      </c>
      <c r="I8" s="61">
        <f t="shared" si="5"/>
        <v>0</v>
      </c>
      <c r="J8" s="61">
        <f t="shared" si="6"/>
        <v>0</v>
      </c>
      <c r="K8" s="80" t="str">
        <f t="shared" si="7"/>
        <v>En orden</v>
      </c>
    </row>
    <row r="9" spans="1:11" x14ac:dyDescent="0.25">
      <c r="A9" s="16" t="s">
        <v>130</v>
      </c>
      <c r="B9" s="89">
        <v>5</v>
      </c>
      <c r="C9" s="52">
        <f>SUMIFS(Quincenas!$I$7:$I$30,Quincenas!$C$7:$C$30,$B9)</f>
        <v>17000</v>
      </c>
      <c r="D9" s="52">
        <f t="shared" si="0"/>
        <v>0</v>
      </c>
      <c r="E9" s="52">
        <f t="shared" si="1"/>
        <v>0</v>
      </c>
      <c r="F9" s="52">
        <f t="shared" si="2"/>
        <v>0</v>
      </c>
      <c r="G9" s="53">
        <f t="shared" si="3"/>
        <v>0</v>
      </c>
      <c r="H9" s="53">
        <f t="shared" si="4"/>
        <v>17000</v>
      </c>
      <c r="I9" s="19">
        <f t="shared" si="5"/>
        <v>0</v>
      </c>
      <c r="J9" s="19">
        <f t="shared" si="6"/>
        <v>0</v>
      </c>
      <c r="K9" s="80" t="str">
        <f t="shared" si="7"/>
        <v>En orden</v>
      </c>
    </row>
    <row r="10" spans="1:11" x14ac:dyDescent="0.25">
      <c r="A10" s="81" t="s">
        <v>131</v>
      </c>
      <c r="B10" s="90">
        <v>6</v>
      </c>
      <c r="C10" s="59">
        <f>SUMIFS(Quincenas!$I$7:$I$30,Quincenas!$C$7:$C$30,$B10)</f>
        <v>17000</v>
      </c>
      <c r="D10" s="59">
        <f t="shared" si="0"/>
        <v>0</v>
      </c>
      <c r="E10" s="59">
        <f t="shared" si="1"/>
        <v>0</v>
      </c>
      <c r="F10" s="59">
        <f t="shared" si="2"/>
        <v>0</v>
      </c>
      <c r="G10" s="60">
        <f t="shared" si="3"/>
        <v>0</v>
      </c>
      <c r="H10" s="60">
        <f t="shared" si="4"/>
        <v>17000</v>
      </c>
      <c r="I10" s="61">
        <f t="shared" si="5"/>
        <v>0</v>
      </c>
      <c r="J10" s="61">
        <f t="shared" si="6"/>
        <v>0</v>
      </c>
      <c r="K10" s="80" t="str">
        <f t="shared" si="7"/>
        <v>En orden</v>
      </c>
    </row>
    <row r="11" spans="1:11" x14ac:dyDescent="0.25">
      <c r="A11" s="16" t="s">
        <v>132</v>
      </c>
      <c r="B11" s="89">
        <v>7</v>
      </c>
      <c r="C11" s="52">
        <f>SUMIFS(Quincenas!$I$7:$I$30,Quincenas!$C$7:$C$30,$B11)</f>
        <v>17000</v>
      </c>
      <c r="D11" s="52">
        <f t="shared" si="0"/>
        <v>0</v>
      </c>
      <c r="E11" s="52">
        <f t="shared" si="1"/>
        <v>0</v>
      </c>
      <c r="F11" s="52">
        <f t="shared" si="2"/>
        <v>0</v>
      </c>
      <c r="G11" s="53">
        <f t="shared" si="3"/>
        <v>0</v>
      </c>
      <c r="H11" s="53">
        <f t="shared" si="4"/>
        <v>17000</v>
      </c>
      <c r="I11" s="19">
        <f t="shared" si="5"/>
        <v>0</v>
      </c>
      <c r="J11" s="19">
        <f t="shared" si="6"/>
        <v>0</v>
      </c>
      <c r="K11" s="80" t="str">
        <f t="shared" si="7"/>
        <v>En orden</v>
      </c>
    </row>
    <row r="12" spans="1:11" x14ac:dyDescent="0.25">
      <c r="A12" s="81" t="s">
        <v>133</v>
      </c>
      <c r="B12" s="90">
        <v>8</v>
      </c>
      <c r="C12" s="59">
        <f>SUMIFS(Quincenas!$I$7:$I$30,Quincenas!$C$7:$C$30,$B12)</f>
        <v>17000</v>
      </c>
      <c r="D12" s="59">
        <f t="shared" si="0"/>
        <v>0</v>
      </c>
      <c r="E12" s="59">
        <f t="shared" si="1"/>
        <v>0</v>
      </c>
      <c r="F12" s="59">
        <f t="shared" si="2"/>
        <v>0</v>
      </c>
      <c r="G12" s="60">
        <f t="shared" si="3"/>
        <v>0</v>
      </c>
      <c r="H12" s="60">
        <f t="shared" si="4"/>
        <v>17000</v>
      </c>
      <c r="I12" s="61">
        <f t="shared" si="5"/>
        <v>0</v>
      </c>
      <c r="J12" s="61">
        <f t="shared" si="6"/>
        <v>0</v>
      </c>
      <c r="K12" s="80" t="str">
        <f t="shared" si="7"/>
        <v>En orden</v>
      </c>
    </row>
    <row r="13" spans="1:11" x14ac:dyDescent="0.25">
      <c r="A13" s="16" t="s">
        <v>134</v>
      </c>
      <c r="B13" s="89">
        <v>9</v>
      </c>
      <c r="C13" s="52">
        <f>SUMIFS(Quincenas!$I$7:$I$30,Quincenas!$C$7:$C$30,$B13)</f>
        <v>17000</v>
      </c>
      <c r="D13" s="52">
        <f t="shared" si="0"/>
        <v>0</v>
      </c>
      <c r="E13" s="52">
        <f t="shared" si="1"/>
        <v>0</v>
      </c>
      <c r="F13" s="52">
        <f t="shared" si="2"/>
        <v>0</v>
      </c>
      <c r="G13" s="53">
        <f t="shared" si="3"/>
        <v>0</v>
      </c>
      <c r="H13" s="53">
        <f t="shared" si="4"/>
        <v>17000</v>
      </c>
      <c r="I13" s="19">
        <f t="shared" si="5"/>
        <v>0</v>
      </c>
      <c r="J13" s="19">
        <f t="shared" si="6"/>
        <v>0</v>
      </c>
      <c r="K13" s="80" t="str">
        <f t="shared" si="7"/>
        <v>En orden</v>
      </c>
    </row>
    <row r="14" spans="1:11" x14ac:dyDescent="0.25">
      <c r="A14" s="81" t="s">
        <v>135</v>
      </c>
      <c r="B14" s="90">
        <v>10</v>
      </c>
      <c r="C14" s="59">
        <f>SUMIFS(Quincenas!$I$7:$I$30,Quincenas!$C$7:$C$30,$B14)</f>
        <v>17000</v>
      </c>
      <c r="D14" s="59">
        <f t="shared" si="0"/>
        <v>0</v>
      </c>
      <c r="E14" s="59">
        <f t="shared" si="1"/>
        <v>0</v>
      </c>
      <c r="F14" s="59">
        <f t="shared" si="2"/>
        <v>0</v>
      </c>
      <c r="G14" s="60">
        <f t="shared" si="3"/>
        <v>0</v>
      </c>
      <c r="H14" s="60">
        <f t="shared" si="4"/>
        <v>17000</v>
      </c>
      <c r="I14" s="61">
        <f t="shared" si="5"/>
        <v>0</v>
      </c>
      <c r="J14" s="61">
        <f t="shared" si="6"/>
        <v>0</v>
      </c>
      <c r="K14" s="80" t="str">
        <f t="shared" si="7"/>
        <v>En orden</v>
      </c>
    </row>
    <row r="15" spans="1:11" x14ac:dyDescent="0.25">
      <c r="A15" s="16" t="s">
        <v>136</v>
      </c>
      <c r="B15" s="89">
        <v>11</v>
      </c>
      <c r="C15" s="52">
        <f>SUMIFS(Quincenas!$I$7:$I$30,Quincenas!$C$7:$C$30,$B15)</f>
        <v>17000</v>
      </c>
      <c r="D15" s="52">
        <f t="shared" si="0"/>
        <v>0</v>
      </c>
      <c r="E15" s="52">
        <f t="shared" si="1"/>
        <v>0</v>
      </c>
      <c r="F15" s="52">
        <f t="shared" si="2"/>
        <v>0</v>
      </c>
      <c r="G15" s="53">
        <f t="shared" si="3"/>
        <v>0</v>
      </c>
      <c r="H15" s="53">
        <f t="shared" si="4"/>
        <v>17000</v>
      </c>
      <c r="I15" s="19">
        <f t="shared" si="5"/>
        <v>0</v>
      </c>
      <c r="J15" s="19">
        <f t="shared" si="6"/>
        <v>0</v>
      </c>
      <c r="K15" s="80" t="str">
        <f t="shared" si="7"/>
        <v>En orden</v>
      </c>
    </row>
    <row r="16" spans="1:11" x14ac:dyDescent="0.25">
      <c r="A16" s="81" t="s">
        <v>137</v>
      </c>
      <c r="B16" s="90">
        <v>12</v>
      </c>
      <c r="C16" s="59">
        <f>SUMIFS(Quincenas!$I$7:$I$30,Quincenas!$C$7:$C$30,$B16)</f>
        <v>17000</v>
      </c>
      <c r="D16" s="59">
        <f t="shared" si="0"/>
        <v>0</v>
      </c>
      <c r="E16" s="59">
        <f t="shared" si="1"/>
        <v>0</v>
      </c>
      <c r="F16" s="59">
        <f t="shared" si="2"/>
        <v>0</v>
      </c>
      <c r="G16" s="60">
        <f t="shared" si="3"/>
        <v>0</v>
      </c>
      <c r="H16" s="60">
        <f t="shared" si="4"/>
        <v>17000</v>
      </c>
      <c r="I16" s="61">
        <f t="shared" si="5"/>
        <v>0</v>
      </c>
      <c r="J16" s="61">
        <f t="shared" si="6"/>
        <v>0</v>
      </c>
      <c r="K16" s="80" t="str">
        <f t="shared" si="7"/>
        <v>En orden</v>
      </c>
    </row>
    <row r="17" spans="1:11" x14ac:dyDescent="0.25">
      <c r="A17" s="6" t="s">
        <v>227</v>
      </c>
      <c r="B17" s="6"/>
      <c r="C17" s="63">
        <f t="shared" ref="C17:H17" si="8">SUM(C5:C16)</f>
        <v>204000</v>
      </c>
      <c r="D17" s="63">
        <f t="shared" si="8"/>
        <v>0</v>
      </c>
      <c r="E17" s="63">
        <f t="shared" si="8"/>
        <v>0</v>
      </c>
      <c r="F17" s="63">
        <f t="shared" si="8"/>
        <v>0</v>
      </c>
      <c r="G17" s="63">
        <f t="shared" si="8"/>
        <v>0</v>
      </c>
      <c r="H17" s="63">
        <f t="shared" si="8"/>
        <v>204000</v>
      </c>
      <c r="I17" s="64">
        <f t="shared" si="5"/>
        <v>0</v>
      </c>
      <c r="J17" s="64">
        <f t="shared" si="6"/>
        <v>0</v>
      </c>
      <c r="K17" s="65" t="str">
        <f>COUNTIF($K$5:$K$16,"Sobregiro")&amp;" mes(es) con sobregiro"</f>
        <v>0 mes(es) con sobregiro</v>
      </c>
    </row>
    <row r="19" spans="1:11" x14ac:dyDescent="0.25">
      <c r="A19" s="28" t="s">
        <v>228</v>
      </c>
    </row>
    <row r="20" spans="1:11" ht="19.5" customHeight="1" x14ac:dyDescent="0.25">
      <c r="A20" s="11" t="s">
        <v>229</v>
      </c>
      <c r="B20" s="11"/>
      <c r="C20" s="11"/>
      <c r="D20" s="11"/>
      <c r="E20" s="11"/>
      <c r="F20" s="11"/>
      <c r="G20" s="11"/>
    </row>
    <row r="21" spans="1:11" ht="55.5" customHeight="1" x14ac:dyDescent="0.25">
      <c r="A21" s="17" t="s">
        <v>143</v>
      </c>
      <c r="B21" s="17" t="s">
        <v>230</v>
      </c>
      <c r="C21" s="17" t="s">
        <v>231</v>
      </c>
      <c r="D21" s="17" t="s">
        <v>232</v>
      </c>
      <c r="E21" s="17" t="s">
        <v>233</v>
      </c>
      <c r="F21" s="17" t="s">
        <v>234</v>
      </c>
      <c r="G21" s="17" t="s">
        <v>235</v>
      </c>
      <c r="I21" s="11" t="s">
        <v>236</v>
      </c>
      <c r="J21" s="11"/>
    </row>
    <row r="22" spans="1:11" x14ac:dyDescent="0.25">
      <c r="A22" s="21" t="str">
        <f>IF(Listas!$A4="","",Listas!$A4)</f>
        <v>Vivienda</v>
      </c>
      <c r="B22" s="52">
        <f t="shared" ref="B22:B45" si="9">IF($A22="","",SUMIFS(Fijos_Monto,Fijos_Cat,$A22,Fijos_Activo,"Sí",Fijos_Aplica,"Q1")*12+SUMIFS(Fijos_Monto,Fijos_Cat,$A22,Fijos_Activo,"Sí",Fijos_Aplica,"Q2")*12+SUMIFS(Fijos_Monto,Fijos_Cat,$A22,Fijos_Activo,"Sí",Fijos_Aplica,"Ambas")*24)</f>
        <v>60000</v>
      </c>
      <c r="C22" s="52">
        <f t="shared" ref="C22:C45" ca="1" si="10">IF($A22="","",SUMIFS(Fijos_Monto,Fijos_Cat,$A22,Fijos_Activo,"Sí",Fijos_Aplica,"Q1")*$J$23+SUMIFS(Fijos_Monto,Fijos_Cat,$A22,Fijos_Activo,"Sí",Fijos_Aplica,"Q2")*$J$24+SUMIFS(Fijos_Monto,Fijos_Cat,$A22,Fijos_Activo,"Sí",Fijos_Aplica,"Ambas")*$J$25)</f>
        <v>0</v>
      </c>
      <c r="D22" s="53">
        <f t="shared" ref="D22:D45" si="11">IF($A22="","",SUMIFS(Reg_Monto,Reg_Cat,$A22,Reg_Tipo,"&lt;&gt;Ingreso extra"))</f>
        <v>0</v>
      </c>
      <c r="E22" s="52" t="str">
        <f t="shared" ref="E22:E45" ca="1" si="12">IF(OR($A22="",$C22=0),"",$D22-$C22)</f>
        <v/>
      </c>
      <c r="F22" s="52">
        <f t="shared" ref="F22:F45" ca="1" si="13">IF($A22="","",SUMIFS(Reg_Monto,Reg_Cat,$A22,Reg_Quincena,Q_Activa,Reg_Tipo,"&lt;&gt;Ingreso extra"))</f>
        <v>0</v>
      </c>
      <c r="G22" s="19" t="str">
        <f t="shared" ref="G22:G45" si="14">IF(OR($A22="",$D$46=0),"",$D22/$D$46)</f>
        <v/>
      </c>
      <c r="I22" s="75" t="s">
        <v>237</v>
      </c>
      <c r="J22" s="91">
        <f>IFERROR(MATCH(Fecha_Inicio,Quincenas!$E$7:$E$30,1),1)</f>
        <v>17</v>
      </c>
    </row>
    <row r="23" spans="1:11" x14ac:dyDescent="0.25">
      <c r="A23" s="55" t="str">
        <f>IF(Listas!$A5="","",Listas!$A5)</f>
        <v>Servicios básicos</v>
      </c>
      <c r="B23" s="59">
        <f t="shared" si="9"/>
        <v>0</v>
      </c>
      <c r="C23" s="59">
        <f t="shared" ca="1" si="10"/>
        <v>0</v>
      </c>
      <c r="D23" s="60">
        <f t="shared" si="11"/>
        <v>0</v>
      </c>
      <c r="E23" s="59" t="str">
        <f t="shared" ca="1" si="12"/>
        <v/>
      </c>
      <c r="F23" s="59">
        <f t="shared" ca="1" si="13"/>
        <v>0</v>
      </c>
      <c r="G23" s="61" t="str">
        <f t="shared" si="14"/>
        <v/>
      </c>
      <c r="I23" s="75" t="s">
        <v>238</v>
      </c>
      <c r="J23" s="91">
        <f ca="1">SUMPRODUCT((Quincenas!$A$7:$A$30&gt;=$J$22)*(Quincenas!$A$7:$A$30&lt;=Q_Activa)*(Quincenas!$D$7:$D$30="Q1"))</f>
        <v>0</v>
      </c>
    </row>
    <row r="24" spans="1:11" x14ac:dyDescent="0.25">
      <c r="A24" s="21" t="str">
        <f>IF(Listas!$A6="","",Listas!$A6)</f>
        <v>Internet y teléfono</v>
      </c>
      <c r="B24" s="52">
        <f t="shared" si="9"/>
        <v>8400</v>
      </c>
      <c r="C24" s="52">
        <f t="shared" ca="1" si="10"/>
        <v>0</v>
      </c>
      <c r="D24" s="53">
        <f t="shared" si="11"/>
        <v>0</v>
      </c>
      <c r="E24" s="52" t="str">
        <f t="shared" ca="1" si="12"/>
        <v/>
      </c>
      <c r="F24" s="52">
        <f t="shared" ca="1" si="13"/>
        <v>0</v>
      </c>
      <c r="G24" s="19" t="str">
        <f t="shared" si="14"/>
        <v/>
      </c>
      <c r="I24" s="75" t="s">
        <v>239</v>
      </c>
      <c r="J24" s="91">
        <f ca="1">SUMPRODUCT((Quincenas!$A$7:$A$30&gt;=$J$22)*(Quincenas!$A$7:$A$30&lt;=Q_Activa)*(Quincenas!$D$7:$D$30="Q2"))</f>
        <v>0</v>
      </c>
    </row>
    <row r="25" spans="1:11" x14ac:dyDescent="0.25">
      <c r="A25" s="55" t="str">
        <f>IF(Listas!$A7="","",Listas!$A7)</f>
        <v>Transporte</v>
      </c>
      <c r="B25" s="59">
        <f t="shared" si="9"/>
        <v>57600</v>
      </c>
      <c r="C25" s="59">
        <f t="shared" ca="1" si="10"/>
        <v>0</v>
      </c>
      <c r="D25" s="60">
        <f t="shared" si="11"/>
        <v>0</v>
      </c>
      <c r="E25" s="59" t="str">
        <f t="shared" ca="1" si="12"/>
        <v/>
      </c>
      <c r="F25" s="59">
        <f t="shared" ca="1" si="13"/>
        <v>0</v>
      </c>
      <c r="G25" s="61" t="str">
        <f t="shared" si="14"/>
        <v/>
      </c>
      <c r="I25" s="75" t="s">
        <v>240</v>
      </c>
      <c r="J25" s="91">
        <f ca="1">$J$23+$J$24</f>
        <v>0</v>
      </c>
    </row>
    <row r="26" spans="1:11" x14ac:dyDescent="0.25">
      <c r="A26" s="21" t="str">
        <f>IF(Listas!$A8="","",Listas!$A8)</f>
        <v>Combustible</v>
      </c>
      <c r="B26" s="52">
        <f t="shared" si="9"/>
        <v>0</v>
      </c>
      <c r="C26" s="52">
        <f t="shared" ca="1" si="10"/>
        <v>0</v>
      </c>
      <c r="D26" s="53">
        <f t="shared" si="11"/>
        <v>0</v>
      </c>
      <c r="E26" s="52" t="str">
        <f t="shared" ca="1" si="12"/>
        <v/>
      </c>
      <c r="F26" s="52">
        <f t="shared" ca="1" si="13"/>
        <v>0</v>
      </c>
      <c r="G26" s="19" t="str">
        <f t="shared" si="14"/>
        <v/>
      </c>
      <c r="I26" s="28" t="s">
        <v>241</v>
      </c>
    </row>
    <row r="27" spans="1:11" x14ac:dyDescent="0.25">
      <c r="A27" s="55" t="str">
        <f>IF(Listas!$A9="","",Listas!$A9)</f>
        <v>Deudas y tarjetas</v>
      </c>
      <c r="B27" s="59">
        <f t="shared" si="9"/>
        <v>9600</v>
      </c>
      <c r="C27" s="59">
        <f t="shared" ca="1" si="10"/>
        <v>0</v>
      </c>
      <c r="D27" s="60">
        <f t="shared" si="11"/>
        <v>0</v>
      </c>
      <c r="E27" s="59" t="str">
        <f t="shared" ca="1" si="12"/>
        <v/>
      </c>
      <c r="F27" s="59">
        <f t="shared" ca="1" si="13"/>
        <v>0</v>
      </c>
      <c r="G27" s="61" t="str">
        <f t="shared" si="14"/>
        <v/>
      </c>
    </row>
    <row r="28" spans="1:11" x14ac:dyDescent="0.25">
      <c r="A28" s="21" t="str">
        <f>IF(Listas!$A10="","",Listas!$A10)</f>
        <v>Suscripciones</v>
      </c>
      <c r="B28" s="52">
        <f t="shared" si="9"/>
        <v>9600</v>
      </c>
      <c r="C28" s="52">
        <f t="shared" ca="1" si="10"/>
        <v>0</v>
      </c>
      <c r="D28" s="53">
        <f t="shared" si="11"/>
        <v>0</v>
      </c>
      <c r="E28" s="52" t="str">
        <f t="shared" ca="1" si="12"/>
        <v/>
      </c>
      <c r="F28" s="52">
        <f t="shared" ca="1" si="13"/>
        <v>0</v>
      </c>
      <c r="G28" s="19" t="str">
        <f t="shared" si="14"/>
        <v/>
      </c>
    </row>
    <row r="29" spans="1:11" x14ac:dyDescent="0.25">
      <c r="A29" s="55" t="str">
        <f>IF(Listas!$A11="","",Listas!$A11)</f>
        <v>Seguros</v>
      </c>
      <c r="B29" s="59">
        <f t="shared" si="9"/>
        <v>0</v>
      </c>
      <c r="C29" s="59">
        <f t="shared" ca="1" si="10"/>
        <v>0</v>
      </c>
      <c r="D29" s="60">
        <f t="shared" si="11"/>
        <v>0</v>
      </c>
      <c r="E29" s="59" t="str">
        <f t="shared" ca="1" si="12"/>
        <v/>
      </c>
      <c r="F29" s="59">
        <f t="shared" ca="1" si="13"/>
        <v>0</v>
      </c>
      <c r="G29" s="61" t="str">
        <f t="shared" si="14"/>
        <v/>
      </c>
    </row>
    <row r="30" spans="1:11" x14ac:dyDescent="0.25">
      <c r="A30" s="21" t="str">
        <f>IF(Listas!$A12="","",Listas!$A12)</f>
        <v>Alimentación</v>
      </c>
      <c r="B30" s="52">
        <f t="shared" si="9"/>
        <v>0</v>
      </c>
      <c r="C30" s="52">
        <f t="shared" ca="1" si="10"/>
        <v>0</v>
      </c>
      <c r="D30" s="53">
        <f t="shared" si="11"/>
        <v>0</v>
      </c>
      <c r="E30" s="52" t="str">
        <f t="shared" ca="1" si="12"/>
        <v/>
      </c>
      <c r="F30" s="52">
        <f t="shared" ca="1" si="13"/>
        <v>0</v>
      </c>
      <c r="G30" s="19" t="str">
        <f t="shared" si="14"/>
        <v/>
      </c>
    </row>
    <row r="31" spans="1:11" x14ac:dyDescent="0.25">
      <c r="A31" s="55" t="str">
        <f>IF(Listas!$A13="","",Listas!$A13)</f>
        <v>Supermercado</v>
      </c>
      <c r="B31" s="59">
        <f t="shared" si="9"/>
        <v>0</v>
      </c>
      <c r="C31" s="59">
        <f t="shared" ca="1" si="10"/>
        <v>0</v>
      </c>
      <c r="D31" s="60">
        <f t="shared" si="11"/>
        <v>0</v>
      </c>
      <c r="E31" s="59" t="str">
        <f t="shared" ca="1" si="12"/>
        <v/>
      </c>
      <c r="F31" s="59">
        <f t="shared" ca="1" si="13"/>
        <v>0</v>
      </c>
      <c r="G31" s="61" t="str">
        <f t="shared" si="14"/>
        <v/>
      </c>
    </row>
    <row r="32" spans="1:11" x14ac:dyDescent="0.25">
      <c r="A32" s="21" t="str">
        <f>IF(Listas!$A14="","",Listas!$A14)</f>
        <v>Salud</v>
      </c>
      <c r="B32" s="52">
        <f t="shared" si="9"/>
        <v>0</v>
      </c>
      <c r="C32" s="52">
        <f t="shared" ca="1" si="10"/>
        <v>0</v>
      </c>
      <c r="D32" s="53">
        <f t="shared" si="11"/>
        <v>0</v>
      </c>
      <c r="E32" s="52" t="str">
        <f t="shared" ca="1" si="12"/>
        <v/>
      </c>
      <c r="F32" s="52">
        <f t="shared" ca="1" si="13"/>
        <v>0</v>
      </c>
      <c r="G32" s="19" t="str">
        <f t="shared" si="14"/>
        <v/>
      </c>
    </row>
    <row r="33" spans="1:7" x14ac:dyDescent="0.25">
      <c r="A33" s="55" t="str">
        <f>IF(Listas!$A15="","",Listas!$A15)</f>
        <v>Educación</v>
      </c>
      <c r="B33" s="59">
        <f t="shared" si="9"/>
        <v>0</v>
      </c>
      <c r="C33" s="59">
        <f t="shared" ca="1" si="10"/>
        <v>0</v>
      </c>
      <c r="D33" s="60">
        <f t="shared" si="11"/>
        <v>0</v>
      </c>
      <c r="E33" s="59" t="str">
        <f t="shared" ca="1" si="12"/>
        <v/>
      </c>
      <c r="F33" s="59">
        <f t="shared" ca="1" si="13"/>
        <v>0</v>
      </c>
      <c r="G33" s="61" t="str">
        <f t="shared" si="14"/>
        <v/>
      </c>
    </row>
    <row r="34" spans="1:7" x14ac:dyDescent="0.25">
      <c r="A34" s="21" t="str">
        <f>IF(Listas!$A16="","",Listas!$A16)</f>
        <v>Cuidado personal</v>
      </c>
      <c r="B34" s="52">
        <f t="shared" si="9"/>
        <v>0</v>
      </c>
      <c r="C34" s="52">
        <f t="shared" ca="1" si="10"/>
        <v>0</v>
      </c>
      <c r="D34" s="53">
        <f t="shared" si="11"/>
        <v>0</v>
      </c>
      <c r="E34" s="52" t="str">
        <f t="shared" ca="1" si="12"/>
        <v/>
      </c>
      <c r="F34" s="52">
        <f t="shared" ca="1" si="13"/>
        <v>0</v>
      </c>
      <c r="G34" s="19" t="str">
        <f t="shared" si="14"/>
        <v/>
      </c>
    </row>
    <row r="35" spans="1:7" x14ac:dyDescent="0.25">
      <c r="A35" s="55" t="str">
        <f>IF(Listas!$A17="","",Listas!$A17)</f>
        <v>Ropa y calzado</v>
      </c>
      <c r="B35" s="59">
        <f t="shared" si="9"/>
        <v>0</v>
      </c>
      <c r="C35" s="59">
        <f t="shared" ca="1" si="10"/>
        <v>0</v>
      </c>
      <c r="D35" s="60">
        <f t="shared" si="11"/>
        <v>0</v>
      </c>
      <c r="E35" s="59" t="str">
        <f t="shared" ca="1" si="12"/>
        <v/>
      </c>
      <c r="F35" s="59">
        <f t="shared" ca="1" si="13"/>
        <v>0</v>
      </c>
      <c r="G35" s="61" t="str">
        <f t="shared" si="14"/>
        <v/>
      </c>
    </row>
    <row r="36" spans="1:7" x14ac:dyDescent="0.25">
      <c r="A36" s="21" t="str">
        <f>IF(Listas!$A18="","",Listas!$A18)</f>
        <v>Entretenimiento</v>
      </c>
      <c r="B36" s="52">
        <f t="shared" si="9"/>
        <v>0</v>
      </c>
      <c r="C36" s="52">
        <f t="shared" ca="1" si="10"/>
        <v>0</v>
      </c>
      <c r="D36" s="53">
        <f t="shared" si="11"/>
        <v>0</v>
      </c>
      <c r="E36" s="52" t="str">
        <f t="shared" ca="1" si="12"/>
        <v/>
      </c>
      <c r="F36" s="52">
        <f t="shared" ca="1" si="13"/>
        <v>0</v>
      </c>
      <c r="G36" s="19" t="str">
        <f t="shared" si="14"/>
        <v/>
      </c>
    </row>
    <row r="37" spans="1:7" x14ac:dyDescent="0.25">
      <c r="A37" s="55" t="str">
        <f>IF(Listas!$A19="","",Listas!$A19)</f>
        <v>Restaurantes</v>
      </c>
      <c r="B37" s="59">
        <f t="shared" si="9"/>
        <v>0</v>
      </c>
      <c r="C37" s="59">
        <f t="shared" ca="1" si="10"/>
        <v>0</v>
      </c>
      <c r="D37" s="60">
        <f t="shared" si="11"/>
        <v>0</v>
      </c>
      <c r="E37" s="59" t="str">
        <f t="shared" ca="1" si="12"/>
        <v/>
      </c>
      <c r="F37" s="59">
        <f t="shared" ca="1" si="13"/>
        <v>0</v>
      </c>
      <c r="G37" s="61" t="str">
        <f t="shared" si="14"/>
        <v/>
      </c>
    </row>
    <row r="38" spans="1:7" x14ac:dyDescent="0.25">
      <c r="A38" s="21" t="str">
        <f>IF(Listas!$A20="","",Listas!$A20)</f>
        <v>Hogar y mantenimiento</v>
      </c>
      <c r="B38" s="52">
        <f t="shared" si="9"/>
        <v>0</v>
      </c>
      <c r="C38" s="52">
        <f t="shared" ca="1" si="10"/>
        <v>0</v>
      </c>
      <c r="D38" s="53">
        <f t="shared" si="11"/>
        <v>0</v>
      </c>
      <c r="E38" s="52" t="str">
        <f t="shared" ca="1" si="12"/>
        <v/>
      </c>
      <c r="F38" s="52">
        <f t="shared" ca="1" si="13"/>
        <v>0</v>
      </c>
      <c r="G38" s="19" t="str">
        <f t="shared" si="14"/>
        <v/>
      </c>
    </row>
    <row r="39" spans="1:7" x14ac:dyDescent="0.25">
      <c r="A39" s="55" t="str">
        <f>IF(Listas!$A21="","",Listas!$A21)</f>
        <v>Mascotas</v>
      </c>
      <c r="B39" s="59">
        <f t="shared" si="9"/>
        <v>0</v>
      </c>
      <c r="C39" s="59">
        <f t="shared" ca="1" si="10"/>
        <v>0</v>
      </c>
      <c r="D39" s="60">
        <f t="shared" si="11"/>
        <v>0</v>
      </c>
      <c r="E39" s="59" t="str">
        <f t="shared" ca="1" si="12"/>
        <v/>
      </c>
      <c r="F39" s="59">
        <f t="shared" ca="1" si="13"/>
        <v>0</v>
      </c>
      <c r="G39" s="61" t="str">
        <f t="shared" si="14"/>
        <v/>
      </c>
    </row>
    <row r="40" spans="1:7" x14ac:dyDescent="0.25">
      <c r="A40" s="21" t="str">
        <f>IF(Listas!$A22="","",Listas!$A22)</f>
        <v>Regalos y celebraciones</v>
      </c>
      <c r="B40" s="52">
        <f t="shared" si="9"/>
        <v>0</v>
      </c>
      <c r="C40" s="52">
        <f t="shared" ca="1" si="10"/>
        <v>0</v>
      </c>
      <c r="D40" s="53">
        <f t="shared" si="11"/>
        <v>0</v>
      </c>
      <c r="E40" s="52" t="str">
        <f t="shared" ca="1" si="12"/>
        <v/>
      </c>
      <c r="F40" s="52">
        <f t="shared" ca="1" si="13"/>
        <v>0</v>
      </c>
      <c r="G40" s="19" t="str">
        <f t="shared" si="14"/>
        <v/>
      </c>
    </row>
    <row r="41" spans="1:7" x14ac:dyDescent="0.25">
      <c r="A41" s="55" t="str">
        <f>IF(Listas!$A23="","",Listas!$A23)</f>
        <v>Familia</v>
      </c>
      <c r="B41" s="59">
        <f t="shared" si="9"/>
        <v>0</v>
      </c>
      <c r="C41" s="59">
        <f t="shared" ca="1" si="10"/>
        <v>0</v>
      </c>
      <c r="D41" s="60">
        <f t="shared" si="11"/>
        <v>0</v>
      </c>
      <c r="E41" s="59" t="str">
        <f t="shared" ca="1" si="12"/>
        <v/>
      </c>
      <c r="F41" s="59">
        <f t="shared" ca="1" si="13"/>
        <v>0</v>
      </c>
      <c r="G41" s="61" t="str">
        <f t="shared" si="14"/>
        <v/>
      </c>
    </row>
    <row r="42" spans="1:7" x14ac:dyDescent="0.25">
      <c r="A42" s="21" t="str">
        <f>IF(Listas!$A24="","",Listas!$A24)</f>
        <v>Impuestos y trámites</v>
      </c>
      <c r="B42" s="52">
        <f t="shared" si="9"/>
        <v>0</v>
      </c>
      <c r="C42" s="52">
        <f t="shared" ca="1" si="10"/>
        <v>0</v>
      </c>
      <c r="D42" s="53">
        <f t="shared" si="11"/>
        <v>0</v>
      </c>
      <c r="E42" s="52" t="str">
        <f t="shared" ca="1" si="12"/>
        <v/>
      </c>
      <c r="F42" s="52">
        <f t="shared" ca="1" si="13"/>
        <v>0</v>
      </c>
      <c r="G42" s="19" t="str">
        <f t="shared" si="14"/>
        <v/>
      </c>
    </row>
    <row r="43" spans="1:7" x14ac:dyDescent="0.25">
      <c r="A43" s="55" t="str">
        <f>IF(Listas!$A25="","",Listas!$A25)</f>
        <v>Ahorro</v>
      </c>
      <c r="B43" s="59">
        <f t="shared" si="9"/>
        <v>0</v>
      </c>
      <c r="C43" s="59">
        <f t="shared" ca="1" si="10"/>
        <v>0</v>
      </c>
      <c r="D43" s="60">
        <f t="shared" si="11"/>
        <v>0</v>
      </c>
      <c r="E43" s="59" t="str">
        <f t="shared" ca="1" si="12"/>
        <v/>
      </c>
      <c r="F43" s="59">
        <f t="shared" ca="1" si="13"/>
        <v>0</v>
      </c>
      <c r="G43" s="61" t="str">
        <f t="shared" si="14"/>
        <v/>
      </c>
    </row>
    <row r="44" spans="1:7" x14ac:dyDescent="0.25">
      <c r="A44" s="21" t="str">
        <f>IF(Listas!$A26="","",Listas!$A26)</f>
        <v>Imprevistos</v>
      </c>
      <c r="B44" s="52">
        <f t="shared" si="9"/>
        <v>0</v>
      </c>
      <c r="C44" s="52">
        <f t="shared" ca="1" si="10"/>
        <v>0</v>
      </c>
      <c r="D44" s="53">
        <f t="shared" si="11"/>
        <v>0</v>
      </c>
      <c r="E44" s="52" t="str">
        <f t="shared" ca="1" si="12"/>
        <v/>
      </c>
      <c r="F44" s="52">
        <f t="shared" ca="1" si="13"/>
        <v>0</v>
      </c>
      <c r="G44" s="19" t="str">
        <f t="shared" si="14"/>
        <v/>
      </c>
    </row>
    <row r="45" spans="1:7" x14ac:dyDescent="0.25">
      <c r="A45" s="55" t="str">
        <f>IF(Listas!$A27="","",Listas!$A27)</f>
        <v>Otros</v>
      </c>
      <c r="B45" s="59">
        <f t="shared" si="9"/>
        <v>0</v>
      </c>
      <c r="C45" s="59">
        <f t="shared" ca="1" si="10"/>
        <v>0</v>
      </c>
      <c r="D45" s="60">
        <f t="shared" si="11"/>
        <v>0</v>
      </c>
      <c r="E45" s="59" t="str">
        <f t="shared" ca="1" si="12"/>
        <v/>
      </c>
      <c r="F45" s="59">
        <f t="shared" ca="1" si="13"/>
        <v>0</v>
      </c>
      <c r="G45" s="61" t="str">
        <f t="shared" si="14"/>
        <v/>
      </c>
    </row>
    <row r="46" spans="1:7" x14ac:dyDescent="0.25">
      <c r="A46" s="62" t="s">
        <v>242</v>
      </c>
      <c r="B46" s="63">
        <f>SUM(B22:B45)</f>
        <v>145200</v>
      </c>
      <c r="C46" s="63">
        <f ca="1">SUM(C22:C45)</f>
        <v>0</v>
      </c>
      <c r="D46" s="63">
        <f>SUM(D22:D45)</f>
        <v>0</v>
      </c>
      <c r="E46" s="63">
        <f ca="1">SUM(E22:E45)</f>
        <v>0</v>
      </c>
      <c r="F46" s="63">
        <f ca="1">SUM(F22:F45)</f>
        <v>0</v>
      </c>
      <c r="G46" s="64" t="str">
        <f>IF($D$46=0,"",1)</f>
        <v/>
      </c>
    </row>
  </sheetData>
  <mergeCells count="4">
    <mergeCell ref="A1:K1"/>
    <mergeCell ref="A17:B17"/>
    <mergeCell ref="A20:G20"/>
    <mergeCell ref="I21:J21"/>
  </mergeCells>
  <conditionalFormatting sqref="D22:D45">
    <cfRule type="dataBar" priority="8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{35BCF17A-CAA3-479F-849E-236A318137F7}</x14:id>
        </ext>
      </extLst>
    </cfRule>
  </conditionalFormatting>
  <conditionalFormatting sqref="E22:E45">
    <cfRule type="cellIs" dxfId="6" priority="9" operator="greaterThan">
      <formula>0</formula>
    </cfRule>
    <cfRule type="cellIs" dxfId="5" priority="10" operator="lessThanOrEqual">
      <formula>0</formula>
    </cfRule>
  </conditionalFormatting>
  <conditionalFormatting sqref="H5:H16">
    <cfRule type="cellIs" dxfId="4" priority="6" operator="lessThan">
      <formula>0</formula>
    </cfRule>
  </conditionalFormatting>
  <conditionalFormatting sqref="J5:J16">
    <cfRule type="dataBar" priority="7">
      <dataBar>
        <cfvo type="num" val="0"/>
        <cfvo type="num" val="1"/>
        <color rgb="FF4472C4"/>
      </dataBar>
      <extLst>
        <ext xmlns:x14="http://schemas.microsoft.com/office/spreadsheetml/2009/9/main" uri="{B025F937-C7B1-47D3-B67F-A62EFF666E3E}">
          <x14:id>{EECE9967-9DDA-49E0-9431-70E4A48164DE}</x14:id>
        </ext>
      </extLst>
    </cfRule>
  </conditionalFormatting>
  <conditionalFormatting sqref="K5:K16">
    <cfRule type="expression" dxfId="3" priority="2">
      <formula>$K5="Sobregiro"</formula>
    </cfRule>
    <cfRule type="expression" dxfId="2" priority="3">
      <formula>$K5="Cerca del límite"</formula>
    </cfRule>
    <cfRule type="expression" dxfId="1" priority="4">
      <formula>$K5="En orden"</formula>
    </cfRule>
    <cfRule type="expression" dxfId="0" priority="5">
      <formula>$K5="Sin ingreso"</formula>
    </cfRule>
  </conditionalFormatting>
  <printOptions horizontalCentered="1"/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5BCF17A-CAA3-479F-849E-236A318137F7}">
            <x14:dataBar axisPosition="none">
              <x14:cfvo type="min"/>
              <x14:cfvo type="max"/>
              <x14:negativeFillColor rgb="FF70AD47"/>
            </x14:dataBar>
          </x14:cfRule>
          <xm:sqref>D22:D45</xm:sqref>
        </x14:conditionalFormatting>
        <x14:conditionalFormatting xmlns:xm="http://schemas.microsoft.com/office/excel/2006/main">
          <x14:cfRule type="dataBar" id="{EECE9967-9DDA-49E0-9431-70E4A48164DE}">
            <x14:dataBar axisPosition="none">
              <x14:cfvo type="num">
                <xm:f>0</xm:f>
              </x14:cfvo>
              <x14:cfvo type="num">
                <xm:f>1</xm:f>
              </x14:cfvo>
              <x14:negativeFillColor rgb="FF4472C4"/>
            </x14:dataBar>
          </x14:cfRule>
          <xm:sqref>J5:J16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BFBFBF"/>
    <pageSetUpPr fitToPage="1"/>
  </sheetPr>
  <dimension ref="A1:J27"/>
  <sheetViews>
    <sheetView showGridLines="0" zoomScaleNormal="100" workbookViewId="0">
      <pane ySplit="3" topLeftCell="A4" activePane="bottomLeft" state="frozen"/>
      <selection pane="bottomLeft" activeCell="J16" sqref="J16"/>
    </sheetView>
  </sheetViews>
  <sheetFormatPr baseColWidth="10" defaultColWidth="8.7109375" defaultRowHeight="15" x14ac:dyDescent="0.25"/>
  <cols>
    <col min="1" max="1" width="26" customWidth="1"/>
    <col min="2" max="2" width="15" customWidth="1"/>
    <col min="3" max="3" width="3" customWidth="1"/>
    <col min="4" max="4" width="20" customWidth="1"/>
    <col min="5" max="5" width="3" customWidth="1"/>
    <col min="6" max="6" width="22" customWidth="1"/>
    <col min="7" max="7" width="3" customWidth="1"/>
    <col min="8" max="8" width="14" customWidth="1"/>
    <col min="9" max="9" width="3" customWidth="1"/>
    <col min="10" max="10" width="18" customWidth="1"/>
  </cols>
  <sheetData>
    <row r="1" spans="1:10" ht="27.75" customHeight="1" x14ac:dyDescent="0.25">
      <c r="A1" s="7" t="s">
        <v>243</v>
      </c>
      <c r="B1" s="7"/>
      <c r="C1" s="7"/>
      <c r="D1" s="7"/>
      <c r="E1" s="7"/>
      <c r="F1" s="7"/>
      <c r="G1" s="7"/>
      <c r="H1" s="7"/>
      <c r="I1" s="7"/>
      <c r="J1" s="7"/>
    </row>
    <row r="2" spans="1:10" x14ac:dyDescent="0.25">
      <c r="A2" s="28" t="s">
        <v>244</v>
      </c>
    </row>
    <row r="3" spans="1:10" ht="30" customHeight="1" x14ac:dyDescent="0.25">
      <c r="A3" s="17" t="s">
        <v>143</v>
      </c>
      <c r="B3" s="17" t="s">
        <v>245</v>
      </c>
      <c r="C3" s="17"/>
      <c r="D3" s="17" t="s">
        <v>246</v>
      </c>
      <c r="E3" s="17"/>
      <c r="F3" s="17" t="s">
        <v>148</v>
      </c>
      <c r="G3" s="17"/>
      <c r="H3" s="17" t="s">
        <v>186</v>
      </c>
      <c r="I3" s="17"/>
      <c r="J3" s="17" t="s">
        <v>247</v>
      </c>
    </row>
    <row r="4" spans="1:10" x14ac:dyDescent="0.25">
      <c r="A4" s="21" t="s">
        <v>153</v>
      </c>
      <c r="B4" s="31" t="s">
        <v>188</v>
      </c>
      <c r="D4" s="21" t="s">
        <v>188</v>
      </c>
      <c r="F4" s="21" t="s">
        <v>159</v>
      </c>
      <c r="H4" s="21" t="s">
        <v>189</v>
      </c>
      <c r="J4" s="21" t="s">
        <v>154</v>
      </c>
    </row>
    <row r="5" spans="1:10" x14ac:dyDescent="0.25">
      <c r="A5" s="55" t="s">
        <v>157</v>
      </c>
      <c r="B5" s="57" t="s">
        <v>188</v>
      </c>
      <c r="D5" s="21" t="s">
        <v>190</v>
      </c>
      <c r="F5" s="21" t="s">
        <v>166</v>
      </c>
      <c r="H5" s="21" t="s">
        <v>248</v>
      </c>
      <c r="J5" s="21" t="s">
        <v>164</v>
      </c>
    </row>
    <row r="6" spans="1:10" x14ac:dyDescent="0.25">
      <c r="A6" s="21" t="s">
        <v>160</v>
      </c>
      <c r="B6" s="31" t="s">
        <v>188</v>
      </c>
      <c r="D6" s="21" t="s">
        <v>193</v>
      </c>
      <c r="F6" s="21" t="s">
        <v>161</v>
      </c>
      <c r="H6" s="21" t="s">
        <v>249</v>
      </c>
    </row>
    <row r="7" spans="1:10" x14ac:dyDescent="0.25">
      <c r="A7" s="55" t="s">
        <v>162</v>
      </c>
      <c r="B7" s="57" t="s">
        <v>188</v>
      </c>
      <c r="D7" s="21" t="s">
        <v>250</v>
      </c>
      <c r="F7" s="21" t="s">
        <v>155</v>
      </c>
      <c r="J7" s="21" t="s">
        <v>156</v>
      </c>
    </row>
    <row r="8" spans="1:10" x14ac:dyDescent="0.25">
      <c r="A8" s="21" t="s">
        <v>165</v>
      </c>
      <c r="B8" s="31" t="s">
        <v>188</v>
      </c>
      <c r="F8" s="21" t="s">
        <v>251</v>
      </c>
      <c r="J8" s="21" t="s">
        <v>252</v>
      </c>
    </row>
    <row r="9" spans="1:10" x14ac:dyDescent="0.25">
      <c r="A9" s="55" t="s">
        <v>167</v>
      </c>
      <c r="B9" s="57" t="s">
        <v>188</v>
      </c>
      <c r="F9" s="21" t="s">
        <v>158</v>
      </c>
    </row>
    <row r="10" spans="1:10" x14ac:dyDescent="0.25">
      <c r="A10" s="21" t="s">
        <v>168</v>
      </c>
      <c r="B10" s="31" t="s">
        <v>188</v>
      </c>
      <c r="F10" s="21" t="s">
        <v>253</v>
      </c>
      <c r="J10" s="28" t="s">
        <v>254</v>
      </c>
    </row>
    <row r="11" spans="1:10" x14ac:dyDescent="0.25">
      <c r="A11" s="55" t="s">
        <v>170</v>
      </c>
      <c r="B11" s="57" t="s">
        <v>188</v>
      </c>
    </row>
    <row r="12" spans="1:10" x14ac:dyDescent="0.25">
      <c r="A12" s="21" t="s">
        <v>255</v>
      </c>
      <c r="B12" s="31" t="s">
        <v>190</v>
      </c>
    </row>
    <row r="13" spans="1:10" x14ac:dyDescent="0.25">
      <c r="A13" s="55" t="s">
        <v>191</v>
      </c>
      <c r="B13" s="57" t="s">
        <v>190</v>
      </c>
    </row>
    <row r="14" spans="1:10" x14ac:dyDescent="0.25">
      <c r="A14" s="21" t="s">
        <v>256</v>
      </c>
      <c r="B14" s="31" t="s">
        <v>190</v>
      </c>
    </row>
    <row r="15" spans="1:10" x14ac:dyDescent="0.25">
      <c r="A15" s="55" t="s">
        <v>257</v>
      </c>
      <c r="B15" s="57" t="s">
        <v>190</v>
      </c>
    </row>
    <row r="16" spans="1:10" x14ac:dyDescent="0.25">
      <c r="A16" s="21" t="s">
        <v>258</v>
      </c>
      <c r="B16" s="31" t="s">
        <v>190</v>
      </c>
    </row>
    <row r="17" spans="1:2" x14ac:dyDescent="0.25">
      <c r="A17" s="55" t="s">
        <v>259</v>
      </c>
      <c r="B17" s="57" t="s">
        <v>190</v>
      </c>
    </row>
    <row r="18" spans="1:2" x14ac:dyDescent="0.25">
      <c r="A18" s="21" t="s">
        <v>260</v>
      </c>
      <c r="B18" s="31" t="s">
        <v>190</v>
      </c>
    </row>
    <row r="19" spans="1:2" x14ac:dyDescent="0.25">
      <c r="A19" s="55" t="s">
        <v>192</v>
      </c>
      <c r="B19" s="57" t="s">
        <v>190</v>
      </c>
    </row>
    <row r="20" spans="1:2" x14ac:dyDescent="0.25">
      <c r="A20" s="21" t="s">
        <v>261</v>
      </c>
      <c r="B20" s="31" t="s">
        <v>190</v>
      </c>
    </row>
    <row r="21" spans="1:2" x14ac:dyDescent="0.25">
      <c r="A21" s="55" t="s">
        <v>262</v>
      </c>
      <c r="B21" s="57" t="s">
        <v>190</v>
      </c>
    </row>
    <row r="22" spans="1:2" x14ac:dyDescent="0.25">
      <c r="A22" s="21" t="s">
        <v>263</v>
      </c>
      <c r="B22" s="31" t="s">
        <v>190</v>
      </c>
    </row>
    <row r="23" spans="1:2" x14ac:dyDescent="0.25">
      <c r="A23" s="55" t="s">
        <v>264</v>
      </c>
      <c r="B23" s="57" t="s">
        <v>190</v>
      </c>
    </row>
    <row r="24" spans="1:2" x14ac:dyDescent="0.25">
      <c r="A24" s="21" t="s">
        <v>265</v>
      </c>
      <c r="B24" s="31" t="s">
        <v>190</v>
      </c>
    </row>
    <row r="25" spans="1:2" x14ac:dyDescent="0.25">
      <c r="A25" s="55" t="s">
        <v>193</v>
      </c>
      <c r="B25" s="57" t="s">
        <v>193</v>
      </c>
    </row>
    <row r="26" spans="1:2" x14ac:dyDescent="0.25">
      <c r="A26" s="21" t="s">
        <v>266</v>
      </c>
      <c r="B26" s="31" t="s">
        <v>190</v>
      </c>
    </row>
    <row r="27" spans="1:2" x14ac:dyDescent="0.25">
      <c r="A27" s="55" t="s">
        <v>267</v>
      </c>
      <c r="B27" s="57" t="s">
        <v>190</v>
      </c>
    </row>
  </sheetData>
  <mergeCells count="1">
    <mergeCell ref="A1:J1"/>
  </mergeCells>
  <printOptions horizontalCentered="1"/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34</vt:i4>
      </vt:variant>
    </vt:vector>
  </HeadingPairs>
  <TitlesOfParts>
    <vt:vector size="43" baseType="lpstr">
      <vt:lpstr>Panel</vt:lpstr>
      <vt:lpstr>Config</vt:lpstr>
      <vt:lpstr>Quincenas</vt:lpstr>
      <vt:lpstr>Fijos</vt:lpstr>
      <vt:lpstr>Registro</vt:lpstr>
      <vt:lpstr>Control</vt:lpstr>
      <vt:lpstr>Historial</vt:lpstr>
      <vt:lpstr>Reporte</vt:lpstr>
      <vt:lpstr>Listas</vt:lpstr>
      <vt:lpstr>Anio</vt:lpstr>
      <vt:lpstr>Dias_Aviso</vt:lpstr>
      <vt:lpstr>Dias_Sin_Registro</vt:lpstr>
      <vt:lpstr>Fecha_Inicio</vt:lpstr>
      <vt:lpstr>Fijos_Activo</vt:lpstr>
      <vt:lpstr>Fijos_Aplica</vt:lpstr>
      <vt:lpstr>Fijos_Cat</vt:lpstr>
      <vt:lpstr>Fijos_Concepto</vt:lpstr>
      <vt:lpstr>Fijos_Monto</vt:lpstr>
      <vt:lpstr>Lista_Categorias</vt:lpstr>
      <vt:lpstr>Lista_Estados</vt:lpstr>
      <vt:lpstr>Lista_Fijos</vt:lpstr>
      <vt:lpstr>Lista_Frecuencias</vt:lpstr>
      <vt:lpstr>Lista_Metodos</vt:lpstr>
      <vt:lpstr>Lista_SiNo</vt:lpstr>
      <vt:lpstr>Lista_Tipos</vt:lpstr>
      <vt:lpstr>Meta_Ahorro</vt:lpstr>
      <vt:lpstr>Q_Activa</vt:lpstr>
      <vt:lpstr>Reg_Cat</vt:lpstr>
      <vt:lpstr>Reg_Concepto</vt:lpstr>
      <vt:lpstr>Reg_Estado</vt:lpstr>
      <vt:lpstr>Reg_Fecha</vt:lpstr>
      <vt:lpstr>Reg_Mes</vt:lpstr>
      <vt:lpstr>Reg_Monto</vt:lpstr>
      <vt:lpstr>Reg_Quincena</vt:lpstr>
      <vt:lpstr>Reg_Tipo</vt:lpstr>
      <vt:lpstr>Control!Títulos_a_imprimir</vt:lpstr>
      <vt:lpstr>Fijos!Títulos_a_imprimir</vt:lpstr>
      <vt:lpstr>Historial!Títulos_a_imprimir</vt:lpstr>
      <vt:lpstr>Listas!Títulos_a_imprimir</vt:lpstr>
      <vt:lpstr>Quincenas!Títulos_a_imprimir</vt:lpstr>
      <vt:lpstr>Registro!Títulos_a_imprimir</vt:lpstr>
      <vt:lpstr>Reporte!Títulos_a_imprimir</vt:lpstr>
      <vt:lpstr>Umbral_Gasto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Ismael Jose Asensio Avelares</cp:lastModifiedBy>
  <cp:revision>1</cp:revision>
  <dcterms:created xsi:type="dcterms:W3CDTF">2026-09-01T03:07:26Z</dcterms:created>
  <dcterms:modified xsi:type="dcterms:W3CDTF">2026-09-01T03:23:56Z</dcterms:modified>
  <dc:language>en-US</dc:language>
</cp:coreProperties>
</file>